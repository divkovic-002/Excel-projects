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his PC\Desktop\Seminarski radovi\Seminarski iz Aplikativog\Za CV\Simple-database\"/>
    </mc:Choice>
  </mc:AlternateContent>
  <xr:revisionPtr revIDLastSave="0" documentId="13_ncr:1_{364D492C-A0E0-4967-A4CC-BAF1497F18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Евиденција" sheetId="1" r:id="rId1"/>
    <sheet name="Sort&amp;Filter&amp;Subtotal" sheetId="2" r:id="rId2"/>
  </sheets>
  <definedNames>
    <definedName name="_xlnm._FilterDatabase" localSheetId="1" hidden="1">'Sort&amp;Filter&amp;Subtotal'!$E$25:$O$35</definedName>
    <definedName name="_xlnm._FilterDatabase" localSheetId="0" hidden="1">Евиденција!$B$5:$M$15</definedName>
    <definedName name="Добављач">Евиденција!$C$19:$C$22</definedName>
    <definedName name="ИНФОТАБ">Евиденција!$E$20:$G$23</definedName>
    <definedName name="Табела">Евиденција!$B$5:$M$15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1" i="2" l="1"/>
  <c r="K61" i="2"/>
  <c r="O57" i="2"/>
  <c r="K57" i="2"/>
  <c r="O53" i="2"/>
  <c r="K53" i="2"/>
  <c r="O50" i="2"/>
  <c r="O62" i="2" s="1"/>
  <c r="K50" i="2"/>
  <c r="K62" i="2" s="1"/>
  <c r="I19" i="1"/>
  <c r="M6" i="1" s="1"/>
  <c r="H6" i="1"/>
  <c r="I6" i="1" s="1"/>
  <c r="K10" i="1"/>
  <c r="L10" i="1" s="1"/>
  <c r="K15" i="1"/>
  <c r="L15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G22" i="1"/>
  <c r="K13" i="1" s="1"/>
  <c r="L13" i="1" s="1"/>
  <c r="G21" i="1"/>
  <c r="K6" i="1" s="1"/>
  <c r="L6" i="1" s="1"/>
  <c r="G20" i="1"/>
  <c r="K9" i="1" s="1"/>
  <c r="L9" i="1" s="1"/>
  <c r="M14" i="1" l="1"/>
  <c r="M13" i="1"/>
  <c r="M10" i="1"/>
  <c r="M9" i="1"/>
  <c r="M12" i="1"/>
  <c r="M8" i="1"/>
  <c r="M15" i="1"/>
  <c r="M7" i="1"/>
  <c r="K8" i="1"/>
  <c r="L8" i="1" s="1"/>
  <c r="K12" i="1"/>
  <c r="L12" i="1" s="1"/>
  <c r="K11" i="1"/>
  <c r="L11" i="1" s="1"/>
  <c r="M11" i="1" s="1"/>
  <c r="K7" i="1"/>
  <c r="L7" i="1" s="1"/>
  <c r="K14" i="1"/>
  <c r="L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This PC</author>
  </authors>
  <commentList>
    <comment ref="M6" authorId="0" shapeId="0" xr:uid="{8235E7AC-09BB-499F-8471-70CD54E7F8E4}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Nema garancije</t>
        </r>
      </text>
    </comment>
  </commentList>
</comments>
</file>

<file path=xl/sharedStrings.xml><?xml version="1.0" encoding="utf-8"?>
<sst xmlns="http://schemas.openxmlformats.org/spreadsheetml/2006/main" count="218" uniqueCount="46">
  <si>
    <t>Р.Б.</t>
  </si>
  <si>
    <t>Категорија производа</t>
  </si>
  <si>
    <t>Назив производа</t>
  </si>
  <si>
    <t>Количина</t>
  </si>
  <si>
    <t>Цена</t>
  </si>
  <si>
    <t>Износ</t>
  </si>
  <si>
    <t>Датум продаје</t>
  </si>
  <si>
    <t>Гаранција</t>
  </si>
  <si>
    <t>PC Komponenta</t>
  </si>
  <si>
    <t>Gotova konfiguracija</t>
  </si>
  <si>
    <t>Konzola</t>
  </si>
  <si>
    <t>ПДВ</t>
  </si>
  <si>
    <t>Dodatna oprema</t>
  </si>
  <si>
    <t>Altos Gamer x4</t>
  </si>
  <si>
    <t>GTX 730</t>
  </si>
  <si>
    <t>Sony PlayStation 5</t>
  </si>
  <si>
    <t>ASUS ROG ELITE x330</t>
  </si>
  <si>
    <t>Slusalice Marvo Z720</t>
  </si>
  <si>
    <t>Perceiver x99</t>
  </si>
  <si>
    <t>Fatamorgana Y33</t>
  </si>
  <si>
    <t>Xbox 360</t>
  </si>
  <si>
    <t>Xbox One</t>
  </si>
  <si>
    <t>Zvucnik Marvo Surround Pro</t>
  </si>
  <si>
    <t>Категорије</t>
  </si>
  <si>
    <t>Цена са ПДВ-ом</t>
  </si>
  <si>
    <t>Статус гаранције</t>
  </si>
  <si>
    <t>ИНФО ТАБЕЛА</t>
  </si>
  <si>
    <t>САМОСТАЛНА ТРГОВИНСКА РАДЊА "TECH STORE"</t>
  </si>
  <si>
    <t>Prosla</t>
  </si>
  <si>
    <t>Traje</t>
  </si>
  <si>
    <t>Добављачи</t>
  </si>
  <si>
    <t>Добављач</t>
  </si>
  <si>
    <t>Датум истека</t>
  </si>
  <si>
    <t>Данашњи датум</t>
  </si>
  <si>
    <t>Xfakt</t>
  </si>
  <si>
    <t>Gforce</t>
  </si>
  <si>
    <t>SupplyDem</t>
  </si>
  <si>
    <t>PcParts</t>
  </si>
  <si>
    <t>Gforce Total</t>
  </si>
  <si>
    <t>PcParts Total</t>
  </si>
  <si>
    <t>SupplyDem Total</t>
  </si>
  <si>
    <t>Xfakt Total</t>
  </si>
  <si>
    <t>Grand Total</t>
  </si>
  <si>
    <t>SUBTOTAL</t>
  </si>
  <si>
    <t>FILTER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</si>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</sst>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SD]\ #,##0.0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/>
    <xf numFmtId="0" fontId="1" fillId="4" borderId="7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164" fontId="1" fillId="4" borderId="1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5" borderId="1" xfId="0" applyFont="1" applyFill="1" applyBorder="1"/>
    <xf numFmtId="10" fontId="1" fillId="4" borderId="1" xfId="0" applyNumberFormat="1" applyFont="1" applyFill="1" applyBorder="1"/>
    <xf numFmtId="0" fontId="5" fillId="5" borderId="13" xfId="0" applyFont="1" applyFill="1" applyBorder="1"/>
    <xf numFmtId="0" fontId="5" fillId="5" borderId="14" xfId="0" applyFont="1" applyFill="1" applyBorder="1"/>
    <xf numFmtId="9" fontId="1" fillId="4" borderId="13" xfId="0" applyNumberFormat="1" applyFont="1" applyFill="1" applyBorder="1" applyAlignment="1">
      <alignment horizontal="left" vertical="center"/>
    </xf>
    <xf numFmtId="0" fontId="1" fillId="4" borderId="14" xfId="0" applyFont="1" applyFill="1" applyBorder="1"/>
    <xf numFmtId="0" fontId="1" fillId="4" borderId="13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/>
    </xf>
    <xf numFmtId="10" fontId="1" fillId="4" borderId="16" xfId="0" applyNumberFormat="1" applyFont="1" applyFill="1" applyBorder="1"/>
    <xf numFmtId="0" fontId="1" fillId="4" borderId="17" xfId="0" applyFont="1" applyFill="1" applyBorder="1"/>
    <xf numFmtId="0" fontId="1" fillId="4" borderId="19" xfId="0" applyFont="1" applyFill="1" applyBorder="1"/>
    <xf numFmtId="0" fontId="1" fillId="4" borderId="20" xfId="0" applyFont="1" applyFill="1" applyBorder="1"/>
    <xf numFmtId="0" fontId="5" fillId="5" borderId="18" xfId="0" applyFont="1" applyFill="1" applyBorder="1"/>
    <xf numFmtId="14" fontId="1" fillId="4" borderId="1" xfId="0" applyNumberFormat="1" applyFont="1" applyFill="1" applyBorder="1" applyAlignment="1">
      <alignment horizontal="center"/>
    </xf>
    <xf numFmtId="14" fontId="1" fillId="4" borderId="10" xfId="0" applyNumberFormat="1" applyFont="1" applyFill="1" applyBorder="1" applyAlignment="1">
      <alignment horizontal="center"/>
    </xf>
    <xf numFmtId="14" fontId="1" fillId="0" borderId="20" xfId="0" applyNumberFormat="1" applyFont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14" fontId="1" fillId="4" borderId="22" xfId="0" applyNumberFormat="1" applyFont="1" applyFill="1" applyBorder="1" applyAlignment="1">
      <alignment horizontal="center"/>
    </xf>
    <xf numFmtId="14" fontId="1" fillId="4" borderId="23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24" xfId="0" applyFont="1" applyBorder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auto="1"/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5"/>
  <sheetViews>
    <sheetView tabSelected="1" zoomScale="86" zoomScaleNormal="86" workbookViewId="0">
      <selection activeCell="J24" sqref="J24"/>
    </sheetView>
  </sheetViews>
  <sheetFormatPr defaultRowHeight="18.75" x14ac:dyDescent="0.3"/>
  <cols>
    <col min="1" max="1" width="9.140625" style="1"/>
    <col min="2" max="2" width="6.28515625" style="1" bestFit="1" customWidth="1"/>
    <col min="3" max="3" width="15" style="1" bestFit="1" customWidth="1"/>
    <col min="4" max="4" width="29.42578125" style="1" bestFit="1" customWidth="1"/>
    <col min="5" max="5" width="33.5703125" style="1" bestFit="1" customWidth="1"/>
    <col min="6" max="6" width="14.140625" style="1" customWidth="1"/>
    <col min="7" max="7" width="19.28515625" style="1" bestFit="1" customWidth="1"/>
    <col min="8" max="8" width="22" style="1" bestFit="1" customWidth="1"/>
    <col min="9" max="9" width="25.5703125" style="1" bestFit="1" customWidth="1"/>
    <col min="10" max="10" width="19.42578125" style="1" bestFit="1" customWidth="1"/>
    <col min="11" max="11" width="19.42578125" style="1" customWidth="1"/>
    <col min="12" max="12" width="14.42578125" style="1" bestFit="1" customWidth="1"/>
    <col min="13" max="14" width="23.42578125" style="1" bestFit="1" customWidth="1"/>
    <col min="15" max="15" width="9.140625" style="1"/>
    <col min="16" max="16" width="36.28515625" style="1" customWidth="1"/>
    <col min="17" max="17" width="9.140625" style="1" customWidth="1"/>
    <col min="18" max="18" width="16.7109375" style="1" bestFit="1" customWidth="1"/>
    <col min="19" max="19" width="17.85546875" style="1" bestFit="1" customWidth="1"/>
    <col min="20" max="20" width="24" style="1" bestFit="1" customWidth="1"/>
    <col min="21" max="21" width="12" style="1" bestFit="1" customWidth="1"/>
    <col min="22" max="22" width="17" style="1" bestFit="1" customWidth="1"/>
    <col min="23" max="23" width="9.140625" style="1"/>
    <col min="24" max="24" width="20" style="1" bestFit="1" customWidth="1"/>
    <col min="25" max="16384" width="9.140625" style="1"/>
  </cols>
  <sheetData>
    <row r="1" spans="2:24" x14ac:dyDescent="0.3">
      <c r="X1"/>
    </row>
    <row r="2" spans="2:24" x14ac:dyDescent="0.3">
      <c r="T2"/>
      <c r="U2"/>
      <c r="V2"/>
      <c r="W2"/>
      <c r="X2"/>
    </row>
    <row r="3" spans="2:24" ht="19.5" thickBot="1" x14ac:dyDescent="0.35">
      <c r="R3"/>
      <c r="S3"/>
      <c r="T3"/>
      <c r="U3"/>
      <c r="V3"/>
      <c r="W3"/>
      <c r="X3"/>
    </row>
    <row r="4" spans="2:24" ht="26.25" thickBot="1" x14ac:dyDescent="0.4">
      <c r="B4" s="46" t="s">
        <v>27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Q4"/>
      <c r="R4"/>
      <c r="S4"/>
      <c r="T4"/>
      <c r="U4"/>
      <c r="V4"/>
      <c r="W4"/>
    </row>
    <row r="5" spans="2:24" x14ac:dyDescent="0.3">
      <c r="B5" s="5" t="s">
        <v>0</v>
      </c>
      <c r="C5" s="6" t="s">
        <v>31</v>
      </c>
      <c r="D5" s="6" t="s">
        <v>1</v>
      </c>
      <c r="E5" s="6" t="s">
        <v>2</v>
      </c>
      <c r="F5" s="6" t="s">
        <v>3</v>
      </c>
      <c r="G5" s="6" t="s">
        <v>4</v>
      </c>
      <c r="H5" s="6" t="s">
        <v>24</v>
      </c>
      <c r="I5" s="6" t="s">
        <v>5</v>
      </c>
      <c r="J5" s="6" t="s">
        <v>6</v>
      </c>
      <c r="K5" s="6" t="s">
        <v>7</v>
      </c>
      <c r="L5" s="29" t="s">
        <v>32</v>
      </c>
      <c r="M5" s="7" t="s">
        <v>25</v>
      </c>
      <c r="Q5"/>
      <c r="S5"/>
      <c r="T5"/>
      <c r="U5"/>
      <c r="V5"/>
      <c r="W5"/>
    </row>
    <row r="6" spans="2:24" x14ac:dyDescent="0.3">
      <c r="B6" s="8">
        <v>1</v>
      </c>
      <c r="C6" s="3" t="s">
        <v>34</v>
      </c>
      <c r="D6" s="3" t="s">
        <v>9</v>
      </c>
      <c r="E6" s="3" t="s">
        <v>13</v>
      </c>
      <c r="F6" s="3">
        <v>3</v>
      </c>
      <c r="G6" s="4">
        <v>45000</v>
      </c>
      <c r="H6" s="4">
        <f>IF(D6="Gotova konfiguracija",G6+G6*$F$21,
IF(D6="PC Komponenta",G6+G6*$F$20,
IF(D6="Konzola",G6+G6*$F$22,G6+G6*$F$23)))</f>
        <v>54000</v>
      </c>
      <c r="I6" s="4">
        <f t="shared" ref="I6:I15" si="0">H6*F6</f>
        <v>162000</v>
      </c>
      <c r="J6" s="26">
        <v>43831</v>
      </c>
      <c r="K6" s="3">
        <f t="shared" ref="K6:K15" si="1">VLOOKUP(D6,ИНФОТАБ,3,FALSE)</f>
        <v>730</v>
      </c>
      <c r="L6" s="30">
        <f t="shared" ref="L6:L15" si="2">J6+K6</f>
        <v>44561</v>
      </c>
      <c r="M6" s="12" t="str">
        <f ca="1">IF(L6&lt;$I$19,"Prosla","Traje")</f>
        <v>Prosla</v>
      </c>
      <c r="Q6"/>
      <c r="S6"/>
      <c r="T6"/>
      <c r="U6"/>
      <c r="V6"/>
    </row>
    <row r="7" spans="2:24" x14ac:dyDescent="0.3">
      <c r="B7" s="8">
        <v>2</v>
      </c>
      <c r="C7" s="3" t="s">
        <v>35</v>
      </c>
      <c r="D7" s="3" t="s">
        <v>8</v>
      </c>
      <c r="E7" s="3" t="s">
        <v>14</v>
      </c>
      <c r="F7" s="3">
        <v>4</v>
      </c>
      <c r="G7" s="4">
        <v>15000</v>
      </c>
      <c r="H7" s="4">
        <f t="shared" ref="H7:H15" si="3">IF(D7="Gotova konfiguracija",G7+G7*$F$21,IF(D7="PC Komponenta",G7+G7*$F$20,IF(D7="Konzola",G7+G7*$F$22,G7+G7*$F$23)))</f>
        <v>17250</v>
      </c>
      <c r="I7" s="4">
        <f t="shared" si="0"/>
        <v>69000</v>
      </c>
      <c r="J7" s="26">
        <v>43876</v>
      </c>
      <c r="K7" s="3">
        <f t="shared" si="1"/>
        <v>1825</v>
      </c>
      <c r="L7" s="30">
        <f t="shared" si="2"/>
        <v>45701</v>
      </c>
      <c r="M7" s="12" t="str">
        <f t="shared" ref="M7:M15" ca="1" si="4">IF(L7&lt;$I$19,"Prosla","Traje")</f>
        <v>Prosla</v>
      </c>
      <c r="Q7"/>
      <c r="S7"/>
      <c r="T7"/>
      <c r="U7"/>
      <c r="V7"/>
    </row>
    <row r="8" spans="2:24" x14ac:dyDescent="0.3">
      <c r="B8" s="8">
        <v>3</v>
      </c>
      <c r="C8" s="3" t="s">
        <v>36</v>
      </c>
      <c r="D8" s="3" t="s">
        <v>10</v>
      </c>
      <c r="E8" s="3" t="s">
        <v>15</v>
      </c>
      <c r="F8" s="3">
        <v>2</v>
      </c>
      <c r="G8" s="4">
        <v>70000</v>
      </c>
      <c r="H8" s="4">
        <f t="shared" si="3"/>
        <v>77000</v>
      </c>
      <c r="I8" s="4">
        <f t="shared" si="0"/>
        <v>154000</v>
      </c>
      <c r="J8" s="26">
        <v>43920</v>
      </c>
      <c r="K8" s="3">
        <f t="shared" si="1"/>
        <v>1095</v>
      </c>
      <c r="L8" s="30">
        <f t="shared" si="2"/>
        <v>45015</v>
      </c>
      <c r="M8" s="12" t="str">
        <f t="shared" ca="1" si="4"/>
        <v>Prosla</v>
      </c>
      <c r="Q8"/>
      <c r="S8"/>
      <c r="T8"/>
      <c r="U8"/>
      <c r="V8"/>
    </row>
    <row r="9" spans="2:24" x14ac:dyDescent="0.3">
      <c r="B9" s="8">
        <v>4</v>
      </c>
      <c r="C9" s="3" t="s">
        <v>37</v>
      </c>
      <c r="D9" s="3" t="s">
        <v>8</v>
      </c>
      <c r="E9" s="3" t="s">
        <v>16</v>
      </c>
      <c r="F9" s="3">
        <v>5</v>
      </c>
      <c r="G9" s="4">
        <v>20000</v>
      </c>
      <c r="H9" s="4">
        <f t="shared" si="3"/>
        <v>23000</v>
      </c>
      <c r="I9" s="4">
        <f t="shared" si="0"/>
        <v>115000</v>
      </c>
      <c r="J9" s="26">
        <v>44040</v>
      </c>
      <c r="K9" s="3">
        <f t="shared" si="1"/>
        <v>1825</v>
      </c>
      <c r="L9" s="30">
        <f t="shared" si="2"/>
        <v>45865</v>
      </c>
      <c r="M9" s="12" t="str">
        <f t="shared" ca="1" si="4"/>
        <v>Prosla</v>
      </c>
      <c r="R9"/>
      <c r="S9"/>
      <c r="T9"/>
      <c r="U9"/>
      <c r="V9"/>
    </row>
    <row r="10" spans="2:24" x14ac:dyDescent="0.3">
      <c r="B10" s="8">
        <v>5</v>
      </c>
      <c r="C10" s="3" t="s">
        <v>36</v>
      </c>
      <c r="D10" s="3" t="s">
        <v>12</v>
      </c>
      <c r="E10" s="3" t="s">
        <v>17</v>
      </c>
      <c r="F10" s="3">
        <v>3</v>
      </c>
      <c r="G10" s="4">
        <v>5000</v>
      </c>
      <c r="H10" s="4">
        <f t="shared" si="3"/>
        <v>5250</v>
      </c>
      <c r="I10" s="4">
        <f t="shared" si="0"/>
        <v>15750</v>
      </c>
      <c r="J10" s="26">
        <v>44196</v>
      </c>
      <c r="K10" s="3">
        <f t="shared" si="1"/>
        <v>365</v>
      </c>
      <c r="L10" s="30">
        <f t="shared" si="2"/>
        <v>44561</v>
      </c>
      <c r="M10" s="12" t="str">
        <f t="shared" ca="1" si="4"/>
        <v>Prosla</v>
      </c>
      <c r="R10"/>
    </row>
    <row r="11" spans="2:24" x14ac:dyDescent="0.3">
      <c r="B11" s="8">
        <v>6</v>
      </c>
      <c r="C11" s="3" t="s">
        <v>34</v>
      </c>
      <c r="D11" s="3" t="s">
        <v>9</v>
      </c>
      <c r="E11" s="3" t="s">
        <v>18</v>
      </c>
      <c r="F11" s="3">
        <v>2</v>
      </c>
      <c r="G11" s="4">
        <v>75000</v>
      </c>
      <c r="H11" s="4">
        <f t="shared" si="3"/>
        <v>90000</v>
      </c>
      <c r="I11" s="4">
        <f t="shared" si="0"/>
        <v>180000</v>
      </c>
      <c r="J11" s="26">
        <v>44229</v>
      </c>
      <c r="K11" s="3">
        <f t="shared" si="1"/>
        <v>730</v>
      </c>
      <c r="L11" s="30">
        <f t="shared" si="2"/>
        <v>44959</v>
      </c>
      <c r="M11" s="12" t="str">
        <f t="shared" ca="1" si="4"/>
        <v>Prosla</v>
      </c>
      <c r="R11"/>
    </row>
    <row r="12" spans="2:24" x14ac:dyDescent="0.3">
      <c r="B12" s="8">
        <v>7</v>
      </c>
      <c r="C12" s="3" t="s">
        <v>35</v>
      </c>
      <c r="D12" s="3" t="s">
        <v>9</v>
      </c>
      <c r="E12" s="3" t="s">
        <v>19</v>
      </c>
      <c r="F12" s="3">
        <v>1</v>
      </c>
      <c r="G12" s="4">
        <v>100000</v>
      </c>
      <c r="H12" s="4">
        <f t="shared" si="3"/>
        <v>120000</v>
      </c>
      <c r="I12" s="4">
        <f t="shared" si="0"/>
        <v>120000</v>
      </c>
      <c r="J12" s="26">
        <v>44321</v>
      </c>
      <c r="K12" s="3">
        <f t="shared" si="1"/>
        <v>730</v>
      </c>
      <c r="L12" s="30">
        <f t="shared" si="2"/>
        <v>45051</v>
      </c>
      <c r="M12" s="12" t="str">
        <f t="shared" ca="1" si="4"/>
        <v>Prosla</v>
      </c>
      <c r="R12"/>
    </row>
    <row r="13" spans="2:24" x14ac:dyDescent="0.3">
      <c r="B13" s="8">
        <v>8</v>
      </c>
      <c r="C13" s="3" t="s">
        <v>36</v>
      </c>
      <c r="D13" s="3" t="s">
        <v>10</v>
      </c>
      <c r="E13" s="3" t="s">
        <v>20</v>
      </c>
      <c r="F13" s="3">
        <v>5</v>
      </c>
      <c r="G13" s="4">
        <v>30000</v>
      </c>
      <c r="H13" s="4">
        <f t="shared" si="3"/>
        <v>33000</v>
      </c>
      <c r="I13" s="4">
        <f t="shared" si="0"/>
        <v>165000</v>
      </c>
      <c r="J13" s="26">
        <v>44528</v>
      </c>
      <c r="K13" s="3">
        <f t="shared" si="1"/>
        <v>1095</v>
      </c>
      <c r="L13" s="30">
        <f t="shared" si="2"/>
        <v>45623</v>
      </c>
      <c r="M13" s="12" t="str">
        <f t="shared" ca="1" si="4"/>
        <v>Prosla</v>
      </c>
      <c r="Q13" s="2"/>
    </row>
    <row r="14" spans="2:24" x14ac:dyDescent="0.3">
      <c r="B14" s="8">
        <v>9</v>
      </c>
      <c r="C14" s="3" t="s">
        <v>34</v>
      </c>
      <c r="D14" s="3" t="s">
        <v>10</v>
      </c>
      <c r="E14" s="3" t="s">
        <v>21</v>
      </c>
      <c r="F14" s="3">
        <v>6</v>
      </c>
      <c r="G14" s="4">
        <v>40000</v>
      </c>
      <c r="H14" s="4">
        <f t="shared" si="3"/>
        <v>44000</v>
      </c>
      <c r="I14" s="4">
        <f t="shared" si="0"/>
        <v>264000</v>
      </c>
      <c r="J14" s="26">
        <v>44627</v>
      </c>
      <c r="K14" s="3">
        <f t="shared" si="1"/>
        <v>1095</v>
      </c>
      <c r="L14" s="30">
        <f t="shared" si="2"/>
        <v>45722</v>
      </c>
      <c r="M14" s="12" t="str">
        <f t="shared" ca="1" si="4"/>
        <v>Prosla</v>
      </c>
    </row>
    <row r="15" spans="2:24" ht="19.5" thickBot="1" x14ac:dyDescent="0.35">
      <c r="B15" s="9">
        <v>10</v>
      </c>
      <c r="C15" s="10" t="s">
        <v>37</v>
      </c>
      <c r="D15" s="10" t="s">
        <v>12</v>
      </c>
      <c r="E15" s="10" t="s">
        <v>22</v>
      </c>
      <c r="F15" s="10">
        <v>7</v>
      </c>
      <c r="G15" s="11">
        <v>7500</v>
      </c>
      <c r="H15" s="11">
        <f t="shared" si="3"/>
        <v>7875</v>
      </c>
      <c r="I15" s="11">
        <f t="shared" si="0"/>
        <v>55125</v>
      </c>
      <c r="J15" s="27">
        <v>46157</v>
      </c>
      <c r="K15" s="10">
        <f t="shared" si="1"/>
        <v>365</v>
      </c>
      <c r="L15" s="31">
        <f t="shared" si="2"/>
        <v>46522</v>
      </c>
      <c r="M15" s="12" t="str">
        <f t="shared" ca="1" si="4"/>
        <v>Traje</v>
      </c>
    </row>
    <row r="16" spans="2:24" ht="19.5" thickTop="1" x14ac:dyDescent="0.3"/>
    <row r="17" spans="3:9" ht="19.5" thickBot="1" x14ac:dyDescent="0.35"/>
    <row r="18" spans="3:9" x14ac:dyDescent="0.3">
      <c r="C18" s="25" t="s">
        <v>30</v>
      </c>
      <c r="E18" s="43" t="s">
        <v>26</v>
      </c>
      <c r="F18" s="44"/>
      <c r="G18" s="45"/>
      <c r="I18" s="25" t="s">
        <v>33</v>
      </c>
    </row>
    <row r="19" spans="3:9" ht="19.5" thickBot="1" x14ac:dyDescent="0.35">
      <c r="C19" s="23" t="s">
        <v>34</v>
      </c>
      <c r="E19" s="15" t="s">
        <v>23</v>
      </c>
      <c r="F19" s="13" t="s">
        <v>11</v>
      </c>
      <c r="G19" s="16" t="s">
        <v>7</v>
      </c>
      <c r="I19" s="28">
        <f t="shared" ref="I19" ca="1" si="5">TODAY()</f>
        <v>46202</v>
      </c>
    </row>
    <row r="20" spans="3:9" x14ac:dyDescent="0.3">
      <c r="C20" s="23" t="s">
        <v>35</v>
      </c>
      <c r="E20" s="17" t="s">
        <v>8</v>
      </c>
      <c r="F20" s="14">
        <v>0.15</v>
      </c>
      <c r="G20" s="18">
        <f xml:space="preserve"> 5*365</f>
        <v>1825</v>
      </c>
    </row>
    <row r="21" spans="3:9" x14ac:dyDescent="0.3">
      <c r="C21" s="23" t="s">
        <v>36</v>
      </c>
      <c r="E21" s="19" t="s">
        <v>9</v>
      </c>
      <c r="F21" s="14">
        <v>0.2</v>
      </c>
      <c r="G21" s="18">
        <f>2*365</f>
        <v>730</v>
      </c>
    </row>
    <row r="22" spans="3:9" ht="19.5" thickBot="1" x14ac:dyDescent="0.35">
      <c r="C22" s="24" t="s">
        <v>37</v>
      </c>
      <c r="E22" s="19" t="s">
        <v>10</v>
      </c>
      <c r="F22" s="14">
        <v>0.1</v>
      </c>
      <c r="G22" s="18">
        <f>3*365</f>
        <v>1095</v>
      </c>
    </row>
    <row r="23" spans="3:9" ht="19.5" thickBot="1" x14ac:dyDescent="0.35">
      <c r="E23" s="20" t="s">
        <v>12</v>
      </c>
      <c r="F23" s="21">
        <v>0.05</v>
      </c>
      <c r="G23" s="22">
        <v>365</v>
      </c>
    </row>
    <row r="25" spans="3:9" ht="17.25" customHeight="1" x14ac:dyDescent="0.3"/>
  </sheetData>
  <sortState xmlns:xlrd2="http://schemas.microsoft.com/office/spreadsheetml/2017/richdata2" ref="B6:M15">
    <sortCondition ref="B6:B15"/>
  </sortState>
  <mergeCells count="2">
    <mergeCell ref="E18:G18"/>
    <mergeCell ref="B4:M4"/>
  </mergeCells>
  <conditionalFormatting sqref="I6:I15">
    <cfRule type="dataBar" priority="1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{FD8758B8-6727-4B36-8C16-FDA170225A46}</x14:id>
        </ext>
      </extLst>
    </cfRule>
  </conditionalFormatting>
  <conditionalFormatting sqref="M6:M15">
    <cfRule type="beginsWith" dxfId="1" priority="2" operator="beginsWith" text="T">
      <formula>LEFT(M6,LEN("T"))="T"</formula>
    </cfRule>
    <cfRule type="beginsWith" dxfId="0" priority="3" operator="beginsWith" text="P">
      <formula>LEFT(M6,LEN("P"))="P"</formula>
    </cfRule>
  </conditionalFormatting>
  <dataValidations xWindow="163" yWindow="404" count="4">
    <dataValidation type="list" errorStyle="warning" allowBlank="1" showInputMessage="1" showErrorMessage="1" error="Није унета категорија из листе" sqref="C6:C15" xr:uid="{13369D45-01C0-4597-830E-08EE0500717F}">
      <formula1>Добављач</formula1>
    </dataValidation>
    <dataValidation type="list" errorStyle="warning" allowBlank="1" showInputMessage="1" showErrorMessage="1" error="Није изабрана одговарајућа категорија" sqref="D6:D15" xr:uid="{0CE0864A-2B6D-4343-9ECA-76CE569F567B}">
      <formula1>$E$20:$E$23</formula1>
    </dataValidation>
    <dataValidation type="list" allowBlank="1" showInputMessage="1" showErrorMessage="1" sqref="L22" xr:uid="{F4229859-A438-4DDE-A43F-DE2A62158EC1}">
      <formula1>$J$22:$J$27</formula1>
    </dataValidation>
    <dataValidation type="list" allowBlank="1" showInputMessage="1" showErrorMessage="1" sqref="L23" xr:uid="{1DF1C58C-2FD3-4440-8F7B-3D84BC4A174E}">
      <formula1>$E$20:$E$23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8758B8-6727-4B36-8C16-FDA170225A4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I6:I15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29F0-AFDE-4005-B4E2-8A670897E0E0}">
  <dimension ref="C1:P64"/>
  <sheetViews>
    <sheetView topLeftCell="D46" workbookViewId="0">
      <selection activeCell="L2" sqref="L2"/>
    </sheetView>
  </sheetViews>
  <sheetFormatPr defaultRowHeight="15" outlineLevelRow="2" x14ac:dyDescent="0.25"/>
  <cols>
    <col min="3" max="3" width="16.140625" bestFit="1" customWidth="1"/>
    <col min="4" max="4" width="16.140625" customWidth="1"/>
    <col min="5" max="5" width="22" bestFit="1" customWidth="1"/>
    <col min="6" max="6" width="27.140625" bestFit="1" customWidth="1"/>
    <col min="7" max="8" width="33.5703125" bestFit="1" customWidth="1"/>
    <col min="9" max="9" width="19.28515625" bestFit="1" customWidth="1"/>
    <col min="10" max="10" width="20.42578125" bestFit="1" customWidth="1"/>
    <col min="11" max="11" width="23" bestFit="1" customWidth="1"/>
    <col min="12" max="13" width="18" bestFit="1" customWidth="1"/>
    <col min="14" max="14" width="16.7109375" bestFit="1" customWidth="1"/>
    <col min="15" max="16" width="21" bestFit="1" customWidth="1"/>
  </cols>
  <sheetData>
    <row r="1" spans="5:16" ht="18.75" customHeight="1" x14ac:dyDescent="0.25">
      <c r="H1" s="49" t="s">
        <v>45</v>
      </c>
      <c r="I1" s="49"/>
      <c r="J1" s="49"/>
      <c r="K1" s="49"/>
    </row>
    <row r="2" spans="5:16" ht="18.75" customHeight="1" x14ac:dyDescent="0.25">
      <c r="H2" s="49"/>
      <c r="I2" s="49"/>
      <c r="J2" s="49"/>
      <c r="K2" s="49"/>
    </row>
    <row r="3" spans="5:16" ht="18.75" x14ac:dyDescent="0.25"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34"/>
    </row>
    <row r="4" spans="5:16" ht="18.75" x14ac:dyDescent="0.3">
      <c r="E4" s="32" t="s">
        <v>31</v>
      </c>
      <c r="F4" s="32" t="s">
        <v>1</v>
      </c>
      <c r="G4" s="32" t="s">
        <v>2</v>
      </c>
      <c r="H4" s="32" t="s">
        <v>3</v>
      </c>
      <c r="I4" s="32" t="s">
        <v>4</v>
      </c>
      <c r="J4" s="32" t="s">
        <v>24</v>
      </c>
      <c r="K4" s="32" t="s">
        <v>5</v>
      </c>
      <c r="L4" s="32" t="s">
        <v>6</v>
      </c>
      <c r="M4" s="32" t="s">
        <v>7</v>
      </c>
      <c r="N4" s="32" t="s">
        <v>32</v>
      </c>
      <c r="O4" s="32" t="s">
        <v>25</v>
      </c>
    </row>
    <row r="5" spans="5:16" ht="18.75" x14ac:dyDescent="0.3">
      <c r="E5" s="32" t="s">
        <v>35</v>
      </c>
      <c r="F5" s="32" t="s">
        <v>9</v>
      </c>
      <c r="G5" s="32" t="s">
        <v>19</v>
      </c>
      <c r="H5" s="32">
        <v>1</v>
      </c>
      <c r="I5" s="40">
        <v>100000</v>
      </c>
      <c r="J5" s="40">
        <v>120000</v>
      </c>
      <c r="K5" s="40">
        <v>120000</v>
      </c>
      <c r="L5" s="33">
        <v>44321</v>
      </c>
      <c r="M5" s="32">
        <v>730</v>
      </c>
      <c r="N5" s="33">
        <v>45051</v>
      </c>
      <c r="O5" s="32" t="s">
        <v>28</v>
      </c>
    </row>
    <row r="6" spans="5:16" ht="18.75" x14ac:dyDescent="0.3">
      <c r="E6" s="32" t="s">
        <v>35</v>
      </c>
      <c r="F6" s="32" t="s">
        <v>8</v>
      </c>
      <c r="G6" s="32" t="s">
        <v>14</v>
      </c>
      <c r="H6" s="32">
        <v>4</v>
      </c>
      <c r="I6" s="40">
        <v>15000</v>
      </c>
      <c r="J6" s="40">
        <v>17250</v>
      </c>
      <c r="K6" s="40">
        <v>69000</v>
      </c>
      <c r="L6" s="33">
        <v>43876</v>
      </c>
      <c r="M6" s="32">
        <v>1825</v>
      </c>
      <c r="N6" s="33">
        <v>45701</v>
      </c>
      <c r="O6" s="32" t="s">
        <v>28</v>
      </c>
    </row>
    <row r="7" spans="5:16" ht="18.75" x14ac:dyDescent="0.3">
      <c r="E7" s="32" t="s">
        <v>37</v>
      </c>
      <c r="F7" s="32" t="s">
        <v>12</v>
      </c>
      <c r="G7" s="32" t="s">
        <v>22</v>
      </c>
      <c r="H7" s="32">
        <v>7</v>
      </c>
      <c r="I7" s="40">
        <v>7500</v>
      </c>
      <c r="J7" s="40">
        <v>7875</v>
      </c>
      <c r="K7" s="40">
        <v>55125</v>
      </c>
      <c r="L7" s="33">
        <v>46157</v>
      </c>
      <c r="M7" s="32">
        <v>365</v>
      </c>
      <c r="N7" s="33">
        <v>46522</v>
      </c>
      <c r="O7" s="32" t="s">
        <v>29</v>
      </c>
    </row>
    <row r="8" spans="5:16" ht="18.75" x14ac:dyDescent="0.3">
      <c r="E8" s="32" t="s">
        <v>37</v>
      </c>
      <c r="F8" s="32" t="s">
        <v>8</v>
      </c>
      <c r="G8" s="32" t="s">
        <v>16</v>
      </c>
      <c r="H8" s="32">
        <v>5</v>
      </c>
      <c r="I8" s="40">
        <v>20000</v>
      </c>
      <c r="J8" s="40">
        <v>23000</v>
      </c>
      <c r="K8" s="40">
        <v>115000</v>
      </c>
      <c r="L8" s="33">
        <v>44040</v>
      </c>
      <c r="M8" s="32">
        <v>1825</v>
      </c>
      <c r="N8" s="33">
        <v>45865</v>
      </c>
      <c r="O8" s="32" t="s">
        <v>28</v>
      </c>
    </row>
    <row r="9" spans="5:16" ht="18.75" x14ac:dyDescent="0.3">
      <c r="E9" s="32" t="s">
        <v>36</v>
      </c>
      <c r="F9" s="32" t="s">
        <v>10</v>
      </c>
      <c r="G9" s="32" t="s">
        <v>20</v>
      </c>
      <c r="H9" s="32">
        <v>5</v>
      </c>
      <c r="I9" s="40">
        <v>30000</v>
      </c>
      <c r="J9" s="40">
        <v>33000</v>
      </c>
      <c r="K9" s="40">
        <v>165000</v>
      </c>
      <c r="L9" s="33">
        <v>44528</v>
      </c>
      <c r="M9" s="32">
        <v>1095</v>
      </c>
      <c r="N9" s="33">
        <v>45623</v>
      </c>
      <c r="O9" s="32" t="s">
        <v>28</v>
      </c>
    </row>
    <row r="10" spans="5:16" ht="18.75" x14ac:dyDescent="0.3">
      <c r="E10" s="32" t="s">
        <v>36</v>
      </c>
      <c r="F10" s="32" t="s">
        <v>12</v>
      </c>
      <c r="G10" s="32" t="s">
        <v>17</v>
      </c>
      <c r="H10" s="32">
        <v>3</v>
      </c>
      <c r="I10" s="40">
        <v>5000</v>
      </c>
      <c r="J10" s="40">
        <v>5250</v>
      </c>
      <c r="K10" s="40">
        <v>15750</v>
      </c>
      <c r="L10" s="33">
        <v>44196</v>
      </c>
      <c r="M10" s="32">
        <v>365</v>
      </c>
      <c r="N10" s="33">
        <v>44561</v>
      </c>
      <c r="O10" s="32" t="s">
        <v>28</v>
      </c>
    </row>
    <row r="11" spans="5:16" ht="18.75" x14ac:dyDescent="0.3">
      <c r="E11" s="32" t="s">
        <v>36</v>
      </c>
      <c r="F11" s="32" t="s">
        <v>10</v>
      </c>
      <c r="G11" s="32" t="s">
        <v>15</v>
      </c>
      <c r="H11" s="32">
        <v>2</v>
      </c>
      <c r="I11" s="40">
        <v>70000</v>
      </c>
      <c r="J11" s="40">
        <v>77000</v>
      </c>
      <c r="K11" s="40">
        <v>154000</v>
      </c>
      <c r="L11" s="33">
        <v>43920</v>
      </c>
      <c r="M11" s="32">
        <v>1095</v>
      </c>
      <c r="N11" s="33">
        <v>45015</v>
      </c>
      <c r="O11" s="32" t="s">
        <v>28</v>
      </c>
    </row>
    <row r="12" spans="5:16" ht="18.75" x14ac:dyDescent="0.3">
      <c r="E12" s="32" t="s">
        <v>34</v>
      </c>
      <c r="F12" s="32" t="s">
        <v>10</v>
      </c>
      <c r="G12" s="32" t="s">
        <v>21</v>
      </c>
      <c r="H12" s="32">
        <v>6</v>
      </c>
      <c r="I12" s="40">
        <v>40000</v>
      </c>
      <c r="J12" s="40">
        <v>44000</v>
      </c>
      <c r="K12" s="40">
        <v>264000</v>
      </c>
      <c r="L12" s="33">
        <v>44627</v>
      </c>
      <c r="M12" s="32">
        <v>1095</v>
      </c>
      <c r="N12" s="33">
        <v>45722</v>
      </c>
      <c r="O12" s="32" t="s">
        <v>28</v>
      </c>
    </row>
    <row r="13" spans="5:16" ht="18.75" x14ac:dyDescent="0.3">
      <c r="E13" s="32" t="s">
        <v>34</v>
      </c>
      <c r="F13" s="32" t="s">
        <v>9</v>
      </c>
      <c r="G13" s="32" t="s">
        <v>18</v>
      </c>
      <c r="H13" s="32">
        <v>2</v>
      </c>
      <c r="I13" s="40">
        <v>75000</v>
      </c>
      <c r="J13" s="40">
        <v>90000</v>
      </c>
      <c r="K13" s="40">
        <v>180000</v>
      </c>
      <c r="L13" s="33">
        <v>44229</v>
      </c>
      <c r="M13" s="32">
        <v>730</v>
      </c>
      <c r="N13" s="33">
        <v>44959</v>
      </c>
      <c r="O13" s="32" t="s">
        <v>28</v>
      </c>
    </row>
    <row r="14" spans="5:16" ht="18.75" x14ac:dyDescent="0.3">
      <c r="E14" s="32" t="s">
        <v>34</v>
      </c>
      <c r="F14" s="32" t="s">
        <v>9</v>
      </c>
      <c r="G14" s="32" t="s">
        <v>13</v>
      </c>
      <c r="H14" s="32">
        <v>3</v>
      </c>
      <c r="I14" s="40">
        <v>45000</v>
      </c>
      <c r="J14" s="40">
        <v>54000</v>
      </c>
      <c r="K14" s="40">
        <v>162000</v>
      </c>
      <c r="L14" s="33">
        <v>43831</v>
      </c>
      <c r="M14" s="32">
        <v>730</v>
      </c>
      <c r="N14" s="33">
        <v>44561</v>
      </c>
      <c r="O14" s="32" t="s">
        <v>28</v>
      </c>
    </row>
    <row r="22" spans="5:15" x14ac:dyDescent="0.25">
      <c r="H22" s="49" t="s">
        <v>44</v>
      </c>
      <c r="I22" s="49"/>
      <c r="J22" s="49"/>
      <c r="K22" s="49"/>
    </row>
    <row r="23" spans="5:15" x14ac:dyDescent="0.25">
      <c r="H23" s="49"/>
      <c r="I23" s="49"/>
      <c r="J23" s="49"/>
      <c r="K23" s="49"/>
    </row>
    <row r="24" spans="5:15" ht="18.75" x14ac:dyDescent="0.25"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</row>
    <row r="25" spans="5:15" ht="18.75" x14ac:dyDescent="0.3">
      <c r="E25" s="32" t="s">
        <v>31</v>
      </c>
      <c r="F25" s="32" t="s">
        <v>1</v>
      </c>
      <c r="G25" s="32" t="s">
        <v>2</v>
      </c>
      <c r="H25" s="32" t="s">
        <v>3</v>
      </c>
      <c r="I25" s="32" t="s">
        <v>4</v>
      </c>
      <c r="J25" s="32" t="s">
        <v>24</v>
      </c>
      <c r="K25" s="32" t="s">
        <v>5</v>
      </c>
      <c r="L25" s="32" t="s">
        <v>6</v>
      </c>
      <c r="M25" s="32" t="s">
        <v>7</v>
      </c>
      <c r="N25" s="32" t="s">
        <v>32</v>
      </c>
      <c r="O25" s="32" t="s">
        <v>25</v>
      </c>
    </row>
    <row r="26" spans="5:15" ht="18.75" x14ac:dyDescent="0.3">
      <c r="E26" s="32" t="s">
        <v>35</v>
      </c>
      <c r="F26" s="32" t="s">
        <v>9</v>
      </c>
      <c r="G26" s="32" t="s">
        <v>19</v>
      </c>
      <c r="H26" s="32">
        <v>1</v>
      </c>
      <c r="I26" s="40">
        <v>100000</v>
      </c>
      <c r="J26" s="40">
        <v>120000</v>
      </c>
      <c r="K26" s="40">
        <v>120000</v>
      </c>
      <c r="L26" s="33">
        <v>44321</v>
      </c>
      <c r="M26" s="32">
        <v>730</v>
      </c>
      <c r="N26" s="33">
        <v>45051</v>
      </c>
      <c r="O26" s="32" t="s">
        <v>28</v>
      </c>
    </row>
    <row r="27" spans="5:15" ht="18.75" x14ac:dyDescent="0.3">
      <c r="E27" s="32" t="s">
        <v>35</v>
      </c>
      <c r="F27" s="32" t="s">
        <v>8</v>
      </c>
      <c r="G27" s="32" t="s">
        <v>14</v>
      </c>
      <c r="H27" s="32">
        <v>4</v>
      </c>
      <c r="I27" s="40">
        <v>15000</v>
      </c>
      <c r="J27" s="40">
        <v>17250</v>
      </c>
      <c r="K27" s="40">
        <v>69000</v>
      </c>
      <c r="L27" s="33">
        <v>43876</v>
      </c>
      <c r="M27" s="32">
        <v>1825</v>
      </c>
      <c r="N27" s="33">
        <v>45701</v>
      </c>
      <c r="O27" s="32" t="s">
        <v>28</v>
      </c>
    </row>
    <row r="28" spans="5:15" ht="18.75" x14ac:dyDescent="0.3">
      <c r="E28" s="32" t="s">
        <v>37</v>
      </c>
      <c r="F28" s="32" t="s">
        <v>12</v>
      </c>
      <c r="G28" s="32" t="s">
        <v>22</v>
      </c>
      <c r="H28" s="32">
        <v>7</v>
      </c>
      <c r="I28" s="40">
        <v>7500</v>
      </c>
      <c r="J28" s="40">
        <v>7875</v>
      </c>
      <c r="K28" s="40">
        <v>55125</v>
      </c>
      <c r="L28" s="33">
        <v>46157</v>
      </c>
      <c r="M28" s="32">
        <v>365</v>
      </c>
      <c r="N28" s="33">
        <v>46522</v>
      </c>
      <c r="O28" s="32" t="s">
        <v>29</v>
      </c>
    </row>
    <row r="29" spans="5:15" ht="18.75" x14ac:dyDescent="0.3">
      <c r="E29" s="32" t="s">
        <v>37</v>
      </c>
      <c r="F29" s="32" t="s">
        <v>8</v>
      </c>
      <c r="G29" s="32" t="s">
        <v>16</v>
      </c>
      <c r="H29" s="32">
        <v>5</v>
      </c>
      <c r="I29" s="40">
        <v>20000</v>
      </c>
      <c r="J29" s="40">
        <v>23000</v>
      </c>
      <c r="K29" s="40">
        <v>115000</v>
      </c>
      <c r="L29" s="33">
        <v>44040</v>
      </c>
      <c r="M29" s="32">
        <v>1825</v>
      </c>
      <c r="N29" s="33">
        <v>45865</v>
      </c>
      <c r="O29" s="32" t="s">
        <v>28</v>
      </c>
    </row>
    <row r="30" spans="5:15" ht="18.75" x14ac:dyDescent="0.3">
      <c r="E30" s="32" t="s">
        <v>36</v>
      </c>
      <c r="F30" s="32" t="s">
        <v>10</v>
      </c>
      <c r="G30" s="32" t="s">
        <v>20</v>
      </c>
      <c r="H30" s="32">
        <v>5</v>
      </c>
      <c r="I30" s="40">
        <v>30000</v>
      </c>
      <c r="J30" s="40">
        <v>33000</v>
      </c>
      <c r="K30" s="40">
        <v>165000</v>
      </c>
      <c r="L30" s="33">
        <v>44528</v>
      </c>
      <c r="M30" s="32">
        <v>1095</v>
      </c>
      <c r="N30" s="33">
        <v>45623</v>
      </c>
      <c r="O30" s="32" t="s">
        <v>28</v>
      </c>
    </row>
    <row r="31" spans="5:15" ht="18.75" x14ac:dyDescent="0.3">
      <c r="E31" s="32" t="s">
        <v>36</v>
      </c>
      <c r="F31" s="32" t="s">
        <v>12</v>
      </c>
      <c r="G31" s="32" t="s">
        <v>17</v>
      </c>
      <c r="H31" s="32">
        <v>3</v>
      </c>
      <c r="I31" s="40">
        <v>5000</v>
      </c>
      <c r="J31" s="40">
        <v>5250</v>
      </c>
      <c r="K31" s="40">
        <v>15750</v>
      </c>
      <c r="L31" s="33">
        <v>44196</v>
      </c>
      <c r="M31" s="32">
        <v>365</v>
      </c>
      <c r="N31" s="33">
        <v>44561</v>
      </c>
      <c r="O31" s="32" t="s">
        <v>28</v>
      </c>
    </row>
    <row r="32" spans="5:15" ht="18.75" x14ac:dyDescent="0.3">
      <c r="E32" s="32" t="s">
        <v>36</v>
      </c>
      <c r="F32" s="32" t="s">
        <v>10</v>
      </c>
      <c r="G32" s="32" t="s">
        <v>15</v>
      </c>
      <c r="H32" s="32">
        <v>2</v>
      </c>
      <c r="I32" s="40">
        <v>70000</v>
      </c>
      <c r="J32" s="40">
        <v>77000</v>
      </c>
      <c r="K32" s="40">
        <v>154000</v>
      </c>
      <c r="L32" s="33">
        <v>43920</v>
      </c>
      <c r="M32" s="32">
        <v>1095</v>
      </c>
      <c r="N32" s="33">
        <v>45015</v>
      </c>
      <c r="O32" s="32" t="s">
        <v>28</v>
      </c>
    </row>
    <row r="33" spans="5:15" ht="18.75" x14ac:dyDescent="0.3">
      <c r="E33" s="32" t="s">
        <v>34</v>
      </c>
      <c r="F33" s="32" t="s">
        <v>10</v>
      </c>
      <c r="G33" s="32" t="s">
        <v>21</v>
      </c>
      <c r="H33" s="32">
        <v>6</v>
      </c>
      <c r="I33" s="40">
        <v>40000</v>
      </c>
      <c r="J33" s="40">
        <v>44000</v>
      </c>
      <c r="K33" s="40">
        <v>264000</v>
      </c>
      <c r="L33" s="33">
        <v>44627</v>
      </c>
      <c r="M33" s="32">
        <v>1095</v>
      </c>
      <c r="N33" s="33">
        <v>45722</v>
      </c>
      <c r="O33" s="32" t="s">
        <v>28</v>
      </c>
    </row>
    <row r="34" spans="5:15" ht="18.75" x14ac:dyDescent="0.3">
      <c r="E34" s="32" t="s">
        <v>34</v>
      </c>
      <c r="F34" s="32" t="s">
        <v>9</v>
      </c>
      <c r="G34" s="32" t="s">
        <v>18</v>
      </c>
      <c r="H34" s="32">
        <v>2</v>
      </c>
      <c r="I34" s="40">
        <v>75000</v>
      </c>
      <c r="J34" s="40">
        <v>90000</v>
      </c>
      <c r="K34" s="40">
        <v>180000</v>
      </c>
      <c r="L34" s="33">
        <v>44229</v>
      </c>
      <c r="M34" s="32">
        <v>730</v>
      </c>
      <c r="N34" s="33">
        <v>44959</v>
      </c>
      <c r="O34" s="32" t="s">
        <v>28</v>
      </c>
    </row>
    <row r="35" spans="5:15" ht="18.75" x14ac:dyDescent="0.3">
      <c r="E35" s="32" t="s">
        <v>34</v>
      </c>
      <c r="F35" s="32" t="s">
        <v>9</v>
      </c>
      <c r="G35" s="32" t="s">
        <v>13</v>
      </c>
      <c r="H35" s="32">
        <v>3</v>
      </c>
      <c r="I35" s="40">
        <v>45000</v>
      </c>
      <c r="J35" s="40">
        <v>54000</v>
      </c>
      <c r="K35" s="40">
        <v>162000</v>
      </c>
      <c r="L35" s="33">
        <v>43831</v>
      </c>
      <c r="M35" s="32">
        <v>730</v>
      </c>
      <c r="N35" s="33">
        <v>44561</v>
      </c>
      <c r="O35" s="32" t="s">
        <v>28</v>
      </c>
    </row>
    <row r="44" spans="5:15" x14ac:dyDescent="0.25">
      <c r="H44" s="49" t="s">
        <v>43</v>
      </c>
      <c r="I44" s="48"/>
      <c r="J44" s="48"/>
      <c r="K44" s="48"/>
    </row>
    <row r="45" spans="5:15" x14ac:dyDescent="0.25">
      <c r="H45" s="48"/>
      <c r="I45" s="48"/>
      <c r="J45" s="48"/>
      <c r="K45" s="48"/>
    </row>
    <row r="47" spans="5:15" ht="18.75" x14ac:dyDescent="0.3">
      <c r="E47" s="32" t="s">
        <v>31</v>
      </c>
      <c r="F47" s="32" t="s">
        <v>1</v>
      </c>
      <c r="G47" s="32" t="s">
        <v>2</v>
      </c>
      <c r="H47" s="32" t="s">
        <v>3</v>
      </c>
      <c r="I47" s="32" t="s">
        <v>4</v>
      </c>
      <c r="J47" s="32" t="s">
        <v>24</v>
      </c>
      <c r="K47" s="32" t="s">
        <v>5</v>
      </c>
      <c r="L47" s="32" t="s">
        <v>6</v>
      </c>
      <c r="M47" s="32" t="s">
        <v>7</v>
      </c>
      <c r="N47" s="32" t="s">
        <v>32</v>
      </c>
      <c r="O47" s="32" t="s">
        <v>25</v>
      </c>
    </row>
    <row r="48" spans="5:15" ht="18.75" outlineLevel="2" x14ac:dyDescent="0.3">
      <c r="E48" s="32" t="s">
        <v>35</v>
      </c>
      <c r="F48" s="32" t="s">
        <v>9</v>
      </c>
      <c r="G48" s="32" t="s">
        <v>19</v>
      </c>
      <c r="H48" s="32">
        <v>1</v>
      </c>
      <c r="I48" s="40">
        <v>100000</v>
      </c>
      <c r="J48" s="40">
        <v>120000</v>
      </c>
      <c r="K48" s="40">
        <v>120000</v>
      </c>
      <c r="L48" s="33">
        <v>44321</v>
      </c>
      <c r="M48" s="32">
        <v>730</v>
      </c>
      <c r="N48" s="33">
        <v>45051</v>
      </c>
      <c r="O48" s="32" t="s">
        <v>28</v>
      </c>
    </row>
    <row r="49" spans="3:15" ht="18.75" outlineLevel="2" x14ac:dyDescent="0.3">
      <c r="E49" s="32" t="s">
        <v>35</v>
      </c>
      <c r="F49" s="32" t="s">
        <v>8</v>
      </c>
      <c r="G49" s="32" t="s">
        <v>14</v>
      </c>
      <c r="H49" s="32">
        <v>4</v>
      </c>
      <c r="I49" s="40">
        <v>15000</v>
      </c>
      <c r="J49" s="40">
        <v>17250</v>
      </c>
      <c r="K49" s="40">
        <v>69000</v>
      </c>
      <c r="L49" s="33">
        <v>43876</v>
      </c>
      <c r="M49" s="32">
        <v>1825</v>
      </c>
      <c r="N49" s="33">
        <v>45701</v>
      </c>
      <c r="O49" s="32" t="s">
        <v>28</v>
      </c>
    </row>
    <row r="50" spans="3:15" ht="18.75" outlineLevel="1" x14ac:dyDescent="0.3">
      <c r="E50" s="38" t="s">
        <v>38</v>
      </c>
      <c r="F50" s="32"/>
      <c r="G50" s="32"/>
      <c r="H50" s="32"/>
      <c r="I50" s="40"/>
      <c r="J50" s="40"/>
      <c r="K50" s="41">
        <f>SUBTOTAL(9,K48:K49)</f>
        <v>189000</v>
      </c>
      <c r="L50" s="33"/>
      <c r="M50" s="32"/>
      <c r="N50" s="33"/>
      <c r="O50" s="32">
        <f>SUBTOTAL(9,O48:O49)</f>
        <v>0</v>
      </c>
    </row>
    <row r="51" spans="3:15" ht="18.75" outlineLevel="2" x14ac:dyDescent="0.3">
      <c r="E51" s="32" t="s">
        <v>37</v>
      </c>
      <c r="F51" s="32" t="s">
        <v>12</v>
      </c>
      <c r="G51" s="32" t="s">
        <v>22</v>
      </c>
      <c r="H51" s="32">
        <v>7</v>
      </c>
      <c r="I51" s="40">
        <v>7500</v>
      </c>
      <c r="J51" s="40">
        <v>7875</v>
      </c>
      <c r="K51" s="40">
        <v>55125</v>
      </c>
      <c r="L51" s="33">
        <v>46157</v>
      </c>
      <c r="M51" s="32">
        <v>365</v>
      </c>
      <c r="N51" s="33">
        <v>46522</v>
      </c>
      <c r="O51" s="32" t="s">
        <v>29</v>
      </c>
    </row>
    <row r="52" spans="3:15" ht="18.75" outlineLevel="2" x14ac:dyDescent="0.3">
      <c r="E52" s="32" t="s">
        <v>37</v>
      </c>
      <c r="F52" s="32" t="s">
        <v>8</v>
      </c>
      <c r="G52" s="32" t="s">
        <v>16</v>
      </c>
      <c r="H52" s="32">
        <v>5</v>
      </c>
      <c r="I52" s="40">
        <v>20000</v>
      </c>
      <c r="J52" s="40">
        <v>23000</v>
      </c>
      <c r="K52" s="40">
        <v>115000</v>
      </c>
      <c r="L52" s="33">
        <v>44040</v>
      </c>
      <c r="M52" s="32">
        <v>1825</v>
      </c>
      <c r="N52" s="33">
        <v>45865</v>
      </c>
      <c r="O52" s="32" t="s">
        <v>28</v>
      </c>
    </row>
    <row r="53" spans="3:15" ht="18.75" outlineLevel="1" x14ac:dyDescent="0.3">
      <c r="E53" s="38" t="s">
        <v>39</v>
      </c>
      <c r="F53" s="32"/>
      <c r="G53" s="32"/>
      <c r="H53" s="32"/>
      <c r="I53" s="40"/>
      <c r="J53" s="40"/>
      <c r="K53" s="41">
        <f>SUBTOTAL(9,K51:K52)</f>
        <v>170125</v>
      </c>
      <c r="L53" s="33"/>
      <c r="M53" s="32"/>
      <c r="N53" s="33"/>
      <c r="O53" s="32">
        <f>SUBTOTAL(9,O51:O52)</f>
        <v>0</v>
      </c>
    </row>
    <row r="54" spans="3:15" ht="18.75" outlineLevel="2" x14ac:dyDescent="0.3">
      <c r="E54" s="32" t="s">
        <v>36</v>
      </c>
      <c r="F54" s="32" t="s">
        <v>10</v>
      </c>
      <c r="G54" s="32" t="s">
        <v>20</v>
      </c>
      <c r="H54" s="32">
        <v>5</v>
      </c>
      <c r="I54" s="40">
        <v>30000</v>
      </c>
      <c r="J54" s="40">
        <v>33000</v>
      </c>
      <c r="K54" s="40">
        <v>165000</v>
      </c>
      <c r="L54" s="33">
        <v>44528</v>
      </c>
      <c r="M54" s="32">
        <v>1095</v>
      </c>
      <c r="N54" s="33">
        <v>45623</v>
      </c>
      <c r="O54" s="32" t="s">
        <v>28</v>
      </c>
    </row>
    <row r="55" spans="3:15" ht="18.75" outlineLevel="2" x14ac:dyDescent="0.3">
      <c r="E55" s="32" t="s">
        <v>36</v>
      </c>
      <c r="F55" s="32" t="s">
        <v>12</v>
      </c>
      <c r="G55" s="32" t="s">
        <v>17</v>
      </c>
      <c r="H55" s="32">
        <v>3</v>
      </c>
      <c r="I55" s="40">
        <v>5000</v>
      </c>
      <c r="J55" s="40">
        <v>5250</v>
      </c>
      <c r="K55" s="40">
        <v>15750</v>
      </c>
      <c r="L55" s="33">
        <v>44196</v>
      </c>
      <c r="M55" s="32">
        <v>365</v>
      </c>
      <c r="N55" s="33">
        <v>44561</v>
      </c>
      <c r="O55" s="32" t="s">
        <v>28</v>
      </c>
    </row>
    <row r="56" spans="3:15" ht="18.75" outlineLevel="2" x14ac:dyDescent="0.3">
      <c r="E56" s="32" t="s">
        <v>36</v>
      </c>
      <c r="F56" s="32" t="s">
        <v>10</v>
      </c>
      <c r="G56" s="32" t="s">
        <v>15</v>
      </c>
      <c r="H56" s="32">
        <v>2</v>
      </c>
      <c r="I56" s="40">
        <v>70000</v>
      </c>
      <c r="J56" s="40">
        <v>77000</v>
      </c>
      <c r="K56" s="40">
        <v>154000</v>
      </c>
      <c r="L56" s="33">
        <v>43920</v>
      </c>
      <c r="M56" s="32">
        <v>1095</v>
      </c>
      <c r="N56" s="33">
        <v>45015</v>
      </c>
      <c r="O56" s="32" t="s">
        <v>28</v>
      </c>
    </row>
    <row r="57" spans="3:15" ht="18.75" outlineLevel="1" x14ac:dyDescent="0.3">
      <c r="E57" s="38" t="s">
        <v>40</v>
      </c>
      <c r="F57" s="32"/>
      <c r="G57" s="32"/>
      <c r="H57" s="32"/>
      <c r="I57" s="40"/>
      <c r="J57" s="40"/>
      <c r="K57" s="41">
        <f>SUBTOTAL(9,K54:K56)</f>
        <v>334750</v>
      </c>
      <c r="L57" s="33"/>
      <c r="M57" s="32"/>
      <c r="N57" s="33"/>
      <c r="O57" s="32">
        <f>SUBTOTAL(9,O54:O56)</f>
        <v>0</v>
      </c>
    </row>
    <row r="58" spans="3:15" ht="18.75" outlineLevel="2" x14ac:dyDescent="0.3">
      <c r="E58" s="32" t="s">
        <v>34</v>
      </c>
      <c r="F58" s="32" t="s">
        <v>10</v>
      </c>
      <c r="G58" s="32" t="s">
        <v>21</v>
      </c>
      <c r="H58" s="32">
        <v>6</v>
      </c>
      <c r="I58" s="40">
        <v>40000</v>
      </c>
      <c r="J58" s="40">
        <v>44000</v>
      </c>
      <c r="K58" s="40">
        <v>264000</v>
      </c>
      <c r="L58" s="33">
        <v>44627</v>
      </c>
      <c r="M58" s="32">
        <v>1095</v>
      </c>
      <c r="N58" s="33">
        <v>45722</v>
      </c>
      <c r="O58" s="32" t="s">
        <v>28</v>
      </c>
    </row>
    <row r="59" spans="3:15" ht="18.75" outlineLevel="2" x14ac:dyDescent="0.3">
      <c r="E59" s="32" t="s">
        <v>34</v>
      </c>
      <c r="F59" s="32" t="s">
        <v>9</v>
      </c>
      <c r="G59" s="32" t="s">
        <v>18</v>
      </c>
      <c r="H59" s="32">
        <v>2</v>
      </c>
      <c r="I59" s="40">
        <v>75000</v>
      </c>
      <c r="J59" s="40">
        <v>90000</v>
      </c>
      <c r="K59" s="40">
        <v>180000</v>
      </c>
      <c r="L59" s="33">
        <v>44229</v>
      </c>
      <c r="M59" s="32">
        <v>730</v>
      </c>
      <c r="N59" s="33">
        <v>44959</v>
      </c>
      <c r="O59" s="32" t="s">
        <v>28</v>
      </c>
    </row>
    <row r="60" spans="3:15" ht="18.75" outlineLevel="2" x14ac:dyDescent="0.3">
      <c r="E60" s="32" t="s">
        <v>34</v>
      </c>
      <c r="F60" s="32" t="s">
        <v>9</v>
      </c>
      <c r="G60" s="32" t="s">
        <v>13</v>
      </c>
      <c r="H60" s="32">
        <v>3</v>
      </c>
      <c r="I60" s="40">
        <v>45000</v>
      </c>
      <c r="J60" s="40">
        <v>54000</v>
      </c>
      <c r="K60" s="40">
        <v>162000</v>
      </c>
      <c r="L60" s="33">
        <v>43831</v>
      </c>
      <c r="M60" s="32">
        <v>730</v>
      </c>
      <c r="N60" s="33">
        <v>44561</v>
      </c>
      <c r="O60" s="32" t="s">
        <v>28</v>
      </c>
    </row>
    <row r="61" spans="3:15" ht="18.75" outlineLevel="1" x14ac:dyDescent="0.3">
      <c r="E61" s="39" t="s">
        <v>41</v>
      </c>
      <c r="F61" s="36"/>
      <c r="G61" s="36"/>
      <c r="H61" s="36"/>
      <c r="I61" s="36"/>
      <c r="J61" s="36"/>
      <c r="K61" s="42">
        <f>SUBTOTAL(9,K58:K60)</f>
        <v>606000</v>
      </c>
      <c r="L61" s="37"/>
      <c r="M61" s="36"/>
      <c r="N61" s="37"/>
      <c r="O61" s="36">
        <f>SUBTOTAL(9,O58:O60)</f>
        <v>0</v>
      </c>
    </row>
    <row r="62" spans="3:15" ht="18.75" x14ac:dyDescent="0.3">
      <c r="E62" s="39" t="s">
        <v>42</v>
      </c>
      <c r="F62" s="36"/>
      <c r="G62" s="36"/>
      <c r="H62" s="36"/>
      <c r="I62" s="36"/>
      <c r="J62" s="36"/>
      <c r="K62" s="42">
        <f>SUBTOTAL(9,K48:K60)</f>
        <v>1299875</v>
      </c>
      <c r="L62" s="37"/>
      <c r="M62" s="36"/>
      <c r="N62" s="37"/>
      <c r="O62" s="36">
        <f>SUBTOTAL(9,O48:O60)</f>
        <v>0</v>
      </c>
    </row>
    <row r="63" spans="3:15" ht="18.75" x14ac:dyDescent="0.3">
      <c r="C63" s="35"/>
      <c r="D63" s="35"/>
      <c r="E63" s="36"/>
      <c r="F63" s="36"/>
      <c r="G63" s="36"/>
      <c r="H63" s="36"/>
      <c r="I63" s="36"/>
      <c r="J63" s="36"/>
      <c r="K63" s="36"/>
      <c r="L63" s="37"/>
      <c r="M63" s="36"/>
      <c r="N63" s="37"/>
      <c r="O63" s="36"/>
    </row>
    <row r="64" spans="3:15" ht="18.75" x14ac:dyDescent="0.3">
      <c r="C64" s="35"/>
      <c r="D64" s="35"/>
      <c r="E64" s="36"/>
      <c r="F64" s="36"/>
      <c r="G64" s="36"/>
      <c r="H64" s="36"/>
      <c r="I64" s="36"/>
      <c r="J64" s="36"/>
      <c r="K64" s="36"/>
      <c r="L64" s="37"/>
      <c r="M64" s="36"/>
      <c r="N64" s="37"/>
      <c r="O64" s="36"/>
    </row>
  </sheetData>
  <sortState xmlns:xlrd2="http://schemas.microsoft.com/office/spreadsheetml/2017/richdata2" ref="E5:O14">
    <sortCondition ref="E5:E14"/>
  </sortState>
  <mergeCells count="3">
    <mergeCell ref="H44:K45"/>
    <mergeCell ref="H22:K23"/>
    <mergeCell ref="H1: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Евиденција</vt:lpstr>
      <vt:lpstr>Sort&amp;Filter&amp;Subtotal</vt:lpstr>
      <vt:lpstr>Добављач</vt:lpstr>
      <vt:lpstr>ИНФОТАБ</vt:lpstr>
      <vt:lpstr>Табела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2015-06-05T18:17:20Z</dcterms:created>
  <dcterms:modified xsi:type="dcterms:W3CDTF">2026-06-29T09:28:25Z</dcterms:modified>
</cp:coreProperties>
</file>