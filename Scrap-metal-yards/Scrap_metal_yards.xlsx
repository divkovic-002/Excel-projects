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 PC\Desktop\Seminarski radovi\Seminarski iz Aplikativog\Za CV\Scrap-metal-yards\"/>
    </mc:Choice>
  </mc:AlternateContent>
  <xr:revisionPtr revIDLastSave="0" documentId="13_ncr:1_{D3348276-291B-4253-A7FD-D66AB18F01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rap_metal_purchase" sheetId="1" r:id="rId1"/>
  </sheets>
  <definedNames>
    <definedName name="_xlnm._FilterDatabase" localSheetId="0" hidden="1">scrap_metal_purchase!$A$11:$J$20</definedName>
    <definedName name="Bajina_Bašta">scrap_metal_purchase!$F$2</definedName>
    <definedName name="Beograd">scrap_metal_purchase!$E$2:$E$5</definedName>
    <definedName name="Bonus">scrap_metal_purchase!$K$2</definedName>
    <definedName name="Gradovi">scrap_metal_purchase!$A$2:$A$8</definedName>
    <definedName name="Klasa">scrap_metal_purchase!$J$2:$J$5</definedName>
    <definedName name="Pirot">scrap_metal_purchase!$H$2:$H$3</definedName>
    <definedName name="PreglednaTabela">scrap_metal_purchase!$G$24:$J$25</definedName>
    <definedName name="Prijepolje">scrap_metal_purchase!$C$2:$C$3</definedName>
    <definedName name="Smederevo">scrap_metal_purchase!$D$2:$D$3</definedName>
    <definedName name="Suma">scrap_metal_purchase!$I$25</definedName>
    <definedName name="Užice">scrap_metal_purchase!$B$2:$B$4</definedName>
    <definedName name="Vranje">scrap_metal_purchase!$G$2:$G$4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  <c r="K12" i="1"/>
  <c r="K13" i="1"/>
  <c r="K14" i="1"/>
  <c r="K15" i="1"/>
  <c r="K16" i="1"/>
  <c r="K17" i="1"/>
  <c r="K18" i="1"/>
  <c r="K19" i="1"/>
  <c r="K20" i="1"/>
  <c r="J25" i="1"/>
  <c r="H12" i="1"/>
  <c r="H13" i="1"/>
  <c r="J13" i="1" s="1"/>
  <c r="H14" i="1"/>
  <c r="J14" i="1" s="1"/>
  <c r="H15" i="1"/>
  <c r="J15" i="1" s="1"/>
  <c r="H16" i="1"/>
  <c r="H17" i="1"/>
  <c r="H18" i="1"/>
  <c r="H19" i="1"/>
  <c r="J19" i="1" s="1"/>
  <c r="H20" i="1"/>
  <c r="J20" i="1" s="1"/>
  <c r="J12" i="1" l="1"/>
  <c r="I20" i="1"/>
  <c r="I16" i="1" l="1"/>
  <c r="J16" i="1" s="1"/>
  <c r="I15" i="1"/>
  <c r="I13" i="1"/>
  <c r="I12" i="1"/>
  <c r="I18" i="1"/>
  <c r="J18" i="1" s="1"/>
  <c r="I14" i="1"/>
  <c r="I19" i="1"/>
  <c r="I17" i="1"/>
  <c r="J17" i="1" s="1"/>
  <c r="H25" i="1" l="1"/>
</calcChain>
</file>

<file path=xl/sharedStrings.xml><?xml version="1.0" encoding="utf-8"?>
<sst xmlns="http://schemas.openxmlformats.org/spreadsheetml/2006/main" count="104" uniqueCount="54">
  <si>
    <t>Grad</t>
  </si>
  <si>
    <t>Užice</t>
  </si>
  <si>
    <t>Prijepolje</t>
  </si>
  <si>
    <t>Smederevo</t>
  </si>
  <si>
    <t>Beograd</t>
  </si>
  <si>
    <t>Vranje</t>
  </si>
  <si>
    <t>Pirot</t>
  </si>
  <si>
    <t>Redni broj</t>
  </si>
  <si>
    <t>G-10</t>
  </si>
  <si>
    <t>G-11</t>
  </si>
  <si>
    <t>G-20</t>
  </si>
  <si>
    <t>G-21</t>
  </si>
  <si>
    <t>G-53</t>
  </si>
  <si>
    <t>G-54</t>
  </si>
  <si>
    <t>G-55</t>
  </si>
  <si>
    <t>G-01</t>
  </si>
  <si>
    <t>G-02</t>
  </si>
  <si>
    <t>G-03</t>
  </si>
  <si>
    <t>G-04</t>
  </si>
  <si>
    <t>G-33</t>
  </si>
  <si>
    <t>G-70</t>
  </si>
  <si>
    <t>G-73</t>
  </si>
  <si>
    <t>G-75</t>
  </si>
  <si>
    <t>G-120</t>
  </si>
  <si>
    <t>G-123</t>
  </si>
  <si>
    <t>Bajina_Bašta</t>
  </si>
  <si>
    <t>Sirovina</t>
  </si>
  <si>
    <t>I</t>
  </si>
  <si>
    <t>II</t>
  </si>
  <si>
    <t>III</t>
  </si>
  <si>
    <t>KLASE</t>
  </si>
  <si>
    <t>Naziv</t>
  </si>
  <si>
    <t>Sirovine</t>
  </si>
  <si>
    <t>Bakar</t>
  </si>
  <si>
    <t>Gvožđe</t>
  </si>
  <si>
    <t>Lim</t>
  </si>
  <si>
    <t>Mesing</t>
  </si>
  <si>
    <t>Olovo</t>
  </si>
  <si>
    <t>Aluminijum</t>
  </si>
  <si>
    <t>KLASA</t>
  </si>
  <si>
    <t>Klasa</t>
  </si>
  <si>
    <t>Iznos</t>
  </si>
  <si>
    <t>NAGRADA</t>
  </si>
  <si>
    <t>Bonus</t>
  </si>
  <si>
    <t>Otpad</t>
  </si>
  <si>
    <t>Ostalo</t>
  </si>
  <si>
    <t>Količina u KG</t>
  </si>
  <si>
    <t>Cena po KG</t>
  </si>
  <si>
    <t>Datum_Otkupa</t>
  </si>
  <si>
    <t>Pregled po gradovima</t>
  </si>
  <si>
    <t>ProsecanIznos</t>
  </si>
  <si>
    <t>UkupanIznos</t>
  </si>
  <si>
    <t>BrojOtkupa</t>
  </si>
  <si>
    <t>Ukupan_iznos_za_isplatu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</si>
</sst>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SD]\ #,##0.00"/>
    <numFmt numFmtId="165" formatCode="_([$RSD]\ * #,##0.00_);_([$RSD]\ * \(#,##0.00\);_([$RSD]\ 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7" xfId="0" applyFont="1" applyBorder="1"/>
    <xf numFmtId="164" fontId="1" fillId="0" borderId="1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1" fillId="0" borderId="0" xfId="0" applyNumberFormat="1" applyFont="1"/>
    <xf numFmtId="9" fontId="3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1" fillId="0" borderId="8" xfId="0" applyNumberFormat="1" applyFont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5" fillId="0" borderId="0" xfId="0" applyFont="1"/>
    <xf numFmtId="165" fontId="1" fillId="0" borderId="1" xfId="0" applyNumberFormat="1" applyFont="1" applyBorder="1" applyAlignment="1">
      <alignment horizontal="center"/>
    </xf>
    <xf numFmtId="165" fontId="1" fillId="3" borderId="1" xfId="0" applyNumberFormat="1" applyFont="1" applyFill="1" applyBorder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/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2"/>
      </font>
      <numFmt numFmtId="164" formatCode="[$RSD]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[$RSD]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rgb="FFFF0000"/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([$RSD]\ * #,##0.00_);_([$RSD]\ * \(#,##0.00\);_([$RSD]\ 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_([$RSD]\ * #,##0.00_);_([$RSD]\ * \(#,##0.00\);_([$RSD]\ 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[$RSD]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[$RSD]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[$RSD]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[$RSD]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E213F-B5F7-4E7F-89C6-49DC89D07835}" name="BERZASIROVINA" displayName="BERZASIROVINA" ref="A24:E30" totalsRowShown="0" headerRowDxfId="27" dataDxfId="25" headerRowBorderDxfId="26" tableBorderDxfId="24" totalsRowBorderDxfId="23">
  <autoFilter ref="A24:E30" xr:uid="{51CE213F-B5F7-4E7F-89C6-49DC89D07835}"/>
  <tableColumns count="5">
    <tableColumn id="1" xr3:uid="{77F36A55-578A-4364-A870-BA07EB4D69B7}" name="Sirovine" dataDxfId="22"/>
    <tableColumn id="2" xr3:uid="{CF190034-4077-4C67-9C06-17C5B91CFFBE}" name="I" dataDxfId="21"/>
    <tableColumn id="3" xr3:uid="{E4C5DED0-1163-403E-ADDA-AC0E0CF3D248}" name="II" dataDxfId="20"/>
    <tableColumn id="4" xr3:uid="{90533320-6FC9-41AA-A422-74AEC8C692C0}" name="III" dataDxfId="19"/>
    <tableColumn id="5" xr3:uid="{5082ECF4-06CE-461D-81E9-284E3F775000}" name="Ostalo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A7966-B77D-419D-8ECC-E86D61EEDC35}" name="GlavnaTabela" displayName="GlavnaTabela" ref="A11:K20" totalsRowShown="0" headerRowDxfId="17" dataDxfId="15" headerRowBorderDxfId="16" tableBorderDxfId="14" totalsRowBorderDxfId="13">
  <autoFilter ref="A11:K20" xr:uid="{820A7966-B77D-419D-8ECC-E86D61EEDC35}"/>
  <tableColumns count="11">
    <tableColumn id="1" xr3:uid="{ED3CF79D-05D2-4A4C-82E4-1D97FB69EFB9}" name="Redni broj" dataDxfId="12"/>
    <tableColumn id="2" xr3:uid="{A54E38F5-2E2F-4A6E-9FA8-C7DB4D181DEA}" name="Grad" dataDxfId="11"/>
    <tableColumn id="3" xr3:uid="{819C42C3-D1CE-4CDB-909E-4AAE60EA9EF6}" name="Otpad" dataDxfId="10"/>
    <tableColumn id="4" xr3:uid="{BEBCD2B1-4ADE-45EA-82FA-5CF358C9766A}" name="Datum_Otkupa" dataDxfId="9"/>
    <tableColumn id="5" xr3:uid="{686E8C70-B409-41D5-B6D7-F03738C5300F}" name="Sirovina" dataDxfId="8"/>
    <tableColumn id="6" xr3:uid="{5EC37619-57B0-4539-A8AE-E55AE8DA07B1}" name="Količina u KG" dataDxfId="7"/>
    <tableColumn id="7" xr3:uid="{43853C84-3ECE-45DE-8D7C-4CBEC8874BC6}" name="Klasa" dataDxfId="6"/>
    <tableColumn id="8" xr3:uid="{5C6D8E93-B916-4A68-AC60-295686BDB934}" name="Cena po KG" dataDxfId="5">
      <calculatedColumnFormula>VLOOKUP(E12,BERZASIROVINA[#All],
MATCH(G12,BERZASIROVINA[#Headers],0),
FALSE)</calculatedColumnFormula>
    </tableColumn>
    <tableColumn id="9" xr3:uid="{723AA14A-2071-43E4-A5C8-0E8FCD7C7718}" name="Iznos" dataDxfId="4">
      <calculatedColumnFormula>F12*H12</calculatedColumnFormula>
    </tableColumn>
    <tableColumn id="10" xr3:uid="{99F6AE7F-0767-4ABF-AC23-FD5ED14EBC8F}" name="Bonus" dataDxfId="1">
      <calculatedColumnFormula>IF(OR(F12&gt;700,AND(F12&gt;=250,H12&gt;=300)),
(H12+H12*Bonus)*F12-I12,"Nema Bonusa")</calculatedColumnFormula>
    </tableColumn>
    <tableColumn id="11" xr3:uid="{EDC29485-82E4-4361-B1E6-CC667FF88BCD}" name="Ukupan_iznos_za_isplatu" dataDxfId="0">
      <calculatedColumnFormula>IF(GlavnaTabela[[#This Row],[Bonus]]="Nema Bonusa",GlavnaTabela[[#This Row],[Iznos]],GlavnaTabela[[#This Row],[Iznos]]+GlavnaTabela[[#This Row],[Bonus]])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Normal="100" workbookViewId="0">
      <selection activeCell="J31" sqref="J31"/>
    </sheetView>
  </sheetViews>
  <sheetFormatPr defaultRowHeight="15.75" x14ac:dyDescent="0.25"/>
  <cols>
    <col min="1" max="1" width="13.140625" style="1" customWidth="1"/>
    <col min="2" max="2" width="14.7109375" style="1" bestFit="1" customWidth="1"/>
    <col min="3" max="3" width="12.140625" style="1" bestFit="1" customWidth="1"/>
    <col min="4" max="4" width="20.42578125" style="1" bestFit="1" customWidth="1"/>
    <col min="5" max="5" width="13.42578125" style="1" bestFit="1" customWidth="1"/>
    <col min="6" max="6" width="19.28515625" style="1" bestFit="1" customWidth="1"/>
    <col min="7" max="7" width="12.28515625" style="1" bestFit="1" customWidth="1"/>
    <col min="8" max="8" width="17.42578125" style="1" bestFit="1" customWidth="1"/>
    <col min="9" max="9" width="17.85546875" style="1" bestFit="1" customWidth="1"/>
    <col min="10" max="10" width="15.140625" style="1" bestFit="1" customWidth="1"/>
    <col min="11" max="11" width="29.85546875" style="1" bestFit="1" customWidth="1"/>
    <col min="12" max="12" width="12" style="1" bestFit="1" customWidth="1"/>
    <col min="13" max="16" width="10.140625" style="1" bestFit="1" customWidth="1"/>
    <col min="17" max="16384" width="9.140625" style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25</v>
      </c>
      <c r="G1" s="2" t="s">
        <v>5</v>
      </c>
      <c r="H1" s="2" t="s">
        <v>6</v>
      </c>
      <c r="I1" s="25"/>
      <c r="J1" s="11" t="s">
        <v>39</v>
      </c>
      <c r="K1" s="11" t="s">
        <v>42</v>
      </c>
      <c r="L1" s="25"/>
    </row>
    <row r="2" spans="1:16" x14ac:dyDescent="0.25">
      <c r="A2" s="3" t="s">
        <v>1</v>
      </c>
      <c r="B2" s="3" t="s">
        <v>12</v>
      </c>
      <c r="C2" s="3" t="s">
        <v>10</v>
      </c>
      <c r="D2" s="3" t="s">
        <v>8</v>
      </c>
      <c r="E2" s="3" t="s">
        <v>15</v>
      </c>
      <c r="F2" s="3" t="s">
        <v>19</v>
      </c>
      <c r="G2" s="3" t="s">
        <v>20</v>
      </c>
      <c r="H2" s="3" t="s">
        <v>23</v>
      </c>
      <c r="I2" s="25"/>
      <c r="J2" s="12" t="s">
        <v>27</v>
      </c>
      <c r="K2" s="14">
        <v>0.08</v>
      </c>
      <c r="L2" s="25"/>
    </row>
    <row r="3" spans="1:16" x14ac:dyDescent="0.25">
      <c r="A3" s="3" t="s">
        <v>2</v>
      </c>
      <c r="B3" s="3" t="s">
        <v>13</v>
      </c>
      <c r="C3" s="3" t="s">
        <v>11</v>
      </c>
      <c r="D3" s="3" t="s">
        <v>9</v>
      </c>
      <c r="E3" s="3" t="s">
        <v>16</v>
      </c>
      <c r="F3" s="3"/>
      <c r="G3" s="3" t="s">
        <v>21</v>
      </c>
      <c r="H3" s="3" t="s">
        <v>24</v>
      </c>
      <c r="I3" s="25"/>
      <c r="J3" s="12" t="s">
        <v>28</v>
      </c>
    </row>
    <row r="4" spans="1:16" x14ac:dyDescent="0.25">
      <c r="A4" s="3" t="s">
        <v>3</v>
      </c>
      <c r="B4" s="3" t="s">
        <v>14</v>
      </c>
      <c r="C4" s="3"/>
      <c r="D4" s="3"/>
      <c r="E4" s="3" t="s">
        <v>17</v>
      </c>
      <c r="F4" s="3"/>
      <c r="G4" s="3" t="s">
        <v>22</v>
      </c>
      <c r="H4" s="3"/>
      <c r="I4" s="25"/>
      <c r="J4" s="12" t="s">
        <v>29</v>
      </c>
    </row>
    <row r="5" spans="1:16" x14ac:dyDescent="0.25">
      <c r="A5" s="3" t="s">
        <v>4</v>
      </c>
      <c r="B5" s="3"/>
      <c r="C5" s="3"/>
      <c r="D5" s="3"/>
      <c r="E5" s="3" t="s">
        <v>18</v>
      </c>
      <c r="F5" s="3"/>
      <c r="G5" s="3"/>
      <c r="H5" s="3"/>
      <c r="I5" s="25"/>
      <c r="J5" s="12" t="s">
        <v>45</v>
      </c>
    </row>
    <row r="6" spans="1:16" x14ac:dyDescent="0.25">
      <c r="A6" s="3" t="s">
        <v>25</v>
      </c>
    </row>
    <row r="7" spans="1:16" x14ac:dyDescent="0.25">
      <c r="A7" s="3" t="s">
        <v>5</v>
      </c>
    </row>
    <row r="8" spans="1:16" x14ac:dyDescent="0.25">
      <c r="A8" s="3" t="s">
        <v>6</v>
      </c>
    </row>
    <row r="11" spans="1:16" x14ac:dyDescent="0.25">
      <c r="A11" s="20" t="s">
        <v>7</v>
      </c>
      <c r="B11" s="21" t="s">
        <v>0</v>
      </c>
      <c r="C11" s="21" t="s">
        <v>44</v>
      </c>
      <c r="D11" s="21" t="s">
        <v>48</v>
      </c>
      <c r="E11" s="21" t="s">
        <v>26</v>
      </c>
      <c r="F11" s="21" t="s">
        <v>46</v>
      </c>
      <c r="G11" s="21" t="s">
        <v>40</v>
      </c>
      <c r="H11" s="21" t="s">
        <v>47</v>
      </c>
      <c r="I11" s="21" t="s">
        <v>41</v>
      </c>
      <c r="J11" s="22" t="s">
        <v>43</v>
      </c>
      <c r="K11" s="21" t="s">
        <v>53</v>
      </c>
    </row>
    <row r="12" spans="1:16" x14ac:dyDescent="0.25">
      <c r="A12" s="16">
        <v>1</v>
      </c>
      <c r="B12" s="3" t="s">
        <v>25</v>
      </c>
      <c r="C12" s="3" t="s">
        <v>19</v>
      </c>
      <c r="D12" s="23">
        <v>45051</v>
      </c>
      <c r="E12" s="3" t="s">
        <v>33</v>
      </c>
      <c r="F12" s="3">
        <v>200</v>
      </c>
      <c r="G12" s="3" t="s">
        <v>27</v>
      </c>
      <c r="H12" s="15">
        <f>VLOOKUP(E12,BERZASIROVINA[#All],
MATCH(G12,BERZASIROVINA[#Headers],0),
FALSE)</f>
        <v>400</v>
      </c>
      <c r="I12" s="15">
        <f>F12*H12</f>
        <v>80000</v>
      </c>
      <c r="J12" s="8" t="str">
        <f>IF(OR(F12&gt;700,AND(F12&gt;=250,H12&gt;=300)),
(H12+H12*Bonus)*F12-I12,"Nema Bonusa")</f>
        <v>Nema Bonusa</v>
      </c>
      <c r="K12" s="36">
        <f>IF(GlavnaTabela[[#This Row],[Bonus]]="Nema Bonusa",GlavnaTabela[[#This Row],[Iznos]],GlavnaTabela[[#This Row],[Iznos]]+GlavnaTabela[[#This Row],[Bonus]])</f>
        <v>80000</v>
      </c>
      <c r="M12" s="25"/>
    </row>
    <row r="13" spans="1:16" x14ac:dyDescent="0.25">
      <c r="A13" s="16">
        <v>2</v>
      </c>
      <c r="B13" s="3" t="s">
        <v>2</v>
      </c>
      <c r="C13" s="3" t="s">
        <v>11</v>
      </c>
      <c r="D13" s="23">
        <v>45083</v>
      </c>
      <c r="E13" s="3" t="s">
        <v>35</v>
      </c>
      <c r="F13" s="3">
        <v>200</v>
      </c>
      <c r="G13" s="3" t="s">
        <v>28</v>
      </c>
      <c r="H13" s="15">
        <f>VLOOKUP(E13,BERZASIROVINA[#All],
MATCH(G13,BERZASIROVINA[#Headers],0),
FALSE)</f>
        <v>20</v>
      </c>
      <c r="I13" s="15">
        <f t="shared" ref="I13:I19" si="0">F13*H13</f>
        <v>4000</v>
      </c>
      <c r="J13" s="8" t="str">
        <f t="shared" ref="J13:J20" si="1">IF(OR(F13&gt;700,AND(F13&gt;=250,H13&gt;=300)),
(H13+H13*Bonus)*F13-I13,"Nema Bonusa")</f>
        <v>Nema Bonusa</v>
      </c>
      <c r="K13" s="36">
        <f>IF(GlavnaTabela[[#This Row],[Bonus]]="Nema Bonusa",GlavnaTabela[[#This Row],[Iznos]],GlavnaTabela[[#This Row],[Iznos]]+GlavnaTabela[[#This Row],[Bonus]])</f>
        <v>4000</v>
      </c>
      <c r="M13" s="25"/>
    </row>
    <row r="14" spans="1:16" x14ac:dyDescent="0.25">
      <c r="A14" s="16">
        <v>3</v>
      </c>
      <c r="B14" s="3" t="s">
        <v>3</v>
      </c>
      <c r="C14" s="3" t="s">
        <v>9</v>
      </c>
      <c r="D14" s="23">
        <v>45092</v>
      </c>
      <c r="E14" s="3" t="s">
        <v>34</v>
      </c>
      <c r="F14" s="3">
        <v>400</v>
      </c>
      <c r="G14" s="3" t="s">
        <v>29</v>
      </c>
      <c r="H14" s="15">
        <f>VLOOKUP(E14,BERZASIROVINA[#All],
MATCH(G14,BERZASIROVINA[#Headers],0),
FALSE)</f>
        <v>50</v>
      </c>
      <c r="I14" s="15">
        <f t="shared" si="0"/>
        <v>20000</v>
      </c>
      <c r="J14" s="8" t="str">
        <f t="shared" si="1"/>
        <v>Nema Bonusa</v>
      </c>
      <c r="K14" s="36">
        <f>IF(GlavnaTabela[[#This Row],[Bonus]]="Nema Bonusa",GlavnaTabela[[#This Row],[Iznos]],GlavnaTabela[[#This Row],[Iznos]]+GlavnaTabela[[#This Row],[Bonus]])</f>
        <v>20000</v>
      </c>
      <c r="M14" s="25"/>
      <c r="N14" s="25"/>
      <c r="O14" s="25"/>
      <c r="P14" s="25"/>
    </row>
    <row r="15" spans="1:16" x14ac:dyDescent="0.25">
      <c r="A15" s="16">
        <v>4</v>
      </c>
      <c r="B15" s="3" t="s">
        <v>4</v>
      </c>
      <c r="C15" s="3" t="s">
        <v>16</v>
      </c>
      <c r="D15" s="23">
        <v>45104</v>
      </c>
      <c r="E15" s="3" t="s">
        <v>35</v>
      </c>
      <c r="F15" s="3">
        <v>50</v>
      </c>
      <c r="G15" s="3" t="s">
        <v>45</v>
      </c>
      <c r="H15" s="15">
        <f>VLOOKUP(E15,BERZASIROVINA[#All],
MATCH(G15,BERZASIROVINA[#Headers],0),
FALSE)</f>
        <v>38</v>
      </c>
      <c r="I15" s="15">
        <f t="shared" si="0"/>
        <v>1900</v>
      </c>
      <c r="J15" s="8" t="str">
        <f t="shared" si="1"/>
        <v>Nema Bonusa</v>
      </c>
      <c r="K15" s="36">
        <f>IF(GlavnaTabela[[#This Row],[Bonus]]="Nema Bonusa",GlavnaTabela[[#This Row],[Iznos]],GlavnaTabela[[#This Row],[Iznos]]+GlavnaTabela[[#This Row],[Bonus]])</f>
        <v>1900</v>
      </c>
      <c r="N15" s="25"/>
      <c r="O15" s="25"/>
      <c r="P15" s="25"/>
    </row>
    <row r="16" spans="1:16" x14ac:dyDescent="0.25">
      <c r="A16" s="16">
        <v>5</v>
      </c>
      <c r="B16" s="3" t="s">
        <v>4</v>
      </c>
      <c r="C16" s="3" t="s">
        <v>15</v>
      </c>
      <c r="D16" s="23">
        <v>45110</v>
      </c>
      <c r="E16" s="3" t="s">
        <v>36</v>
      </c>
      <c r="F16" s="3">
        <v>250</v>
      </c>
      <c r="G16" s="3" t="s">
        <v>27</v>
      </c>
      <c r="H16" s="15">
        <f>VLOOKUP(E16,BERZASIROVINA[#All],
MATCH(G16,BERZASIROVINA[#Headers],0),
FALSE)</f>
        <v>150</v>
      </c>
      <c r="I16" s="15">
        <f t="shared" si="0"/>
        <v>37500</v>
      </c>
      <c r="J16" s="8" t="str">
        <f t="shared" si="1"/>
        <v>Nema Bonusa</v>
      </c>
      <c r="K16" s="36">
        <f>IF(GlavnaTabela[[#This Row],[Bonus]]="Nema Bonusa",GlavnaTabela[[#This Row],[Iznos]],GlavnaTabela[[#This Row],[Iznos]]+GlavnaTabela[[#This Row],[Bonus]])</f>
        <v>37500</v>
      </c>
      <c r="N16" s="25"/>
      <c r="O16" s="25"/>
      <c r="P16" s="25"/>
    </row>
    <row r="17" spans="1:11" x14ac:dyDescent="0.25">
      <c r="A17" s="16">
        <v>6</v>
      </c>
      <c r="B17" s="3" t="s">
        <v>1</v>
      </c>
      <c r="C17" s="3" t="s">
        <v>13</v>
      </c>
      <c r="D17" s="23">
        <v>45122</v>
      </c>
      <c r="E17" s="3" t="s">
        <v>34</v>
      </c>
      <c r="F17" s="3">
        <v>1000</v>
      </c>
      <c r="G17" s="3" t="s">
        <v>45</v>
      </c>
      <c r="H17" s="15">
        <f>VLOOKUP(E17,BERZASIROVINA[#All],
MATCH(G17,BERZASIROVINA[#Headers],0),
FALSE)</f>
        <v>40</v>
      </c>
      <c r="I17" s="15">
        <f t="shared" si="0"/>
        <v>40000</v>
      </c>
      <c r="J17" s="8">
        <f t="shared" si="1"/>
        <v>3200</v>
      </c>
      <c r="K17" s="36">
        <f>IF(GlavnaTabela[[#This Row],[Bonus]]="Nema Bonusa",GlavnaTabela[[#This Row],[Iznos]],GlavnaTabela[[#This Row],[Iznos]]+GlavnaTabela[[#This Row],[Bonus]])</f>
        <v>43200</v>
      </c>
    </row>
    <row r="18" spans="1:11" x14ac:dyDescent="0.25">
      <c r="A18" s="16">
        <v>7</v>
      </c>
      <c r="B18" s="3" t="s">
        <v>5</v>
      </c>
      <c r="C18" s="3" t="s">
        <v>21</v>
      </c>
      <c r="D18" s="23">
        <v>45130</v>
      </c>
      <c r="E18" s="3" t="s">
        <v>36</v>
      </c>
      <c r="F18" s="3">
        <v>300</v>
      </c>
      <c r="G18" s="3" t="s">
        <v>28</v>
      </c>
      <c r="H18" s="15">
        <f>VLOOKUP(E18,BERZASIROVINA[#All],
MATCH(G18,BERZASIROVINA[#Headers],0),
FALSE)</f>
        <v>300</v>
      </c>
      <c r="I18" s="15">
        <f t="shared" si="0"/>
        <v>90000</v>
      </c>
      <c r="J18" s="8">
        <f t="shared" si="1"/>
        <v>7200</v>
      </c>
      <c r="K18" s="36">
        <f>IF(GlavnaTabela[[#This Row],[Bonus]]="Nema Bonusa",GlavnaTabela[[#This Row],[Iznos]],GlavnaTabela[[#This Row],[Iznos]]+GlavnaTabela[[#This Row],[Bonus]])</f>
        <v>97200</v>
      </c>
    </row>
    <row r="19" spans="1:11" x14ac:dyDescent="0.25">
      <c r="A19" s="17">
        <v>8</v>
      </c>
      <c r="B19" s="18" t="s">
        <v>1</v>
      </c>
      <c r="C19" s="18" t="s">
        <v>13</v>
      </c>
      <c r="D19" s="24">
        <v>45137</v>
      </c>
      <c r="E19" s="18" t="s">
        <v>38</v>
      </c>
      <c r="F19" s="18">
        <v>400</v>
      </c>
      <c r="G19" s="18" t="s">
        <v>45</v>
      </c>
      <c r="H19" s="19">
        <f>VLOOKUP(E19,BERZASIROVINA[#All],
MATCH(G19,BERZASIROVINA[#Headers],0),
FALSE)</f>
        <v>200</v>
      </c>
      <c r="I19" s="19">
        <f t="shared" si="0"/>
        <v>80000</v>
      </c>
      <c r="J19" s="8" t="str">
        <f t="shared" si="1"/>
        <v>Nema Bonusa</v>
      </c>
      <c r="K19" s="36">
        <f>IF(GlavnaTabela[[#This Row],[Bonus]]="Nema Bonusa",GlavnaTabela[[#This Row],[Iznos]],GlavnaTabela[[#This Row],[Iznos]]+GlavnaTabela[[#This Row],[Bonus]])</f>
        <v>80000</v>
      </c>
    </row>
    <row r="20" spans="1:11" x14ac:dyDescent="0.25">
      <c r="A20" s="17">
        <v>9</v>
      </c>
      <c r="B20" s="18" t="s">
        <v>2</v>
      </c>
      <c r="C20" s="18" t="s">
        <v>11</v>
      </c>
      <c r="D20" s="24">
        <v>45137</v>
      </c>
      <c r="E20" s="18" t="s">
        <v>34</v>
      </c>
      <c r="F20" s="18">
        <v>700</v>
      </c>
      <c r="G20" s="18" t="s">
        <v>45</v>
      </c>
      <c r="H20" s="19">
        <f>VLOOKUP(E20,BERZASIROVINA[#All],
MATCH(G20,BERZASIROVINA[#Headers],0),
FALSE)</f>
        <v>40</v>
      </c>
      <c r="I20" s="19">
        <f>F20*H20</f>
        <v>28000</v>
      </c>
      <c r="J20" s="8" t="str">
        <f t="shared" si="1"/>
        <v>Nema Bonusa</v>
      </c>
      <c r="K20" s="37">
        <f>IF(GlavnaTabela[[#This Row],[Bonus]]="Nema Bonusa",GlavnaTabela[[#This Row],[Iznos]],GlavnaTabela[[#This Row],[Iznos]]+GlavnaTabela[[#This Row],[Bonus]])</f>
        <v>28000</v>
      </c>
    </row>
    <row r="21" spans="1:11" x14ac:dyDescent="0.25">
      <c r="I21" s="13"/>
    </row>
    <row r="22" spans="1:11" x14ac:dyDescent="0.25">
      <c r="F22" s="25"/>
    </row>
    <row r="23" spans="1:11" x14ac:dyDescent="0.25">
      <c r="A23" s="4" t="s">
        <v>31</v>
      </c>
      <c r="B23" s="33" t="s">
        <v>30</v>
      </c>
      <c r="C23" s="34"/>
      <c r="D23" s="34"/>
      <c r="E23" s="35"/>
      <c r="G23" s="32" t="s">
        <v>49</v>
      </c>
      <c r="H23" s="32"/>
      <c r="I23" s="32"/>
      <c r="J23" s="32"/>
    </row>
    <row r="24" spans="1:11" x14ac:dyDescent="0.25">
      <c r="A24" s="28" t="s">
        <v>32</v>
      </c>
      <c r="B24" s="29" t="s">
        <v>27</v>
      </c>
      <c r="C24" s="29" t="s">
        <v>28</v>
      </c>
      <c r="D24" s="29" t="s">
        <v>29</v>
      </c>
      <c r="E24" s="30" t="s">
        <v>45</v>
      </c>
      <c r="G24" s="31" t="s">
        <v>0</v>
      </c>
      <c r="H24" s="31" t="s">
        <v>50</v>
      </c>
      <c r="I24" s="31" t="s">
        <v>51</v>
      </c>
      <c r="J24" s="31" t="s">
        <v>52</v>
      </c>
    </row>
    <row r="25" spans="1:11" x14ac:dyDescent="0.25">
      <c r="A25" s="5" t="s">
        <v>33</v>
      </c>
      <c r="B25" s="7">
        <v>400</v>
      </c>
      <c r="C25" s="7">
        <v>550</v>
      </c>
      <c r="D25" s="7">
        <v>800</v>
      </c>
      <c r="E25" s="8">
        <v>200</v>
      </c>
      <c r="G25" s="26" t="s">
        <v>1</v>
      </c>
      <c r="H25" s="27">
        <f ca="1">I25/J25</f>
        <v>61600</v>
      </c>
      <c r="I25" s="27">
        <f ca="1">SUMIF(GlavnaTabela[[Grad]:[Ukupan_iznos_za_isplatu]],G25,GlavnaTabela[Ukupan_iznos_za_isplatu])</f>
        <v>123200</v>
      </c>
      <c r="J25" s="3">
        <f>COUNTIF(GlavnaTabela[Grad],G25)</f>
        <v>2</v>
      </c>
    </row>
    <row r="26" spans="1:11" x14ac:dyDescent="0.25">
      <c r="A26" s="5" t="s">
        <v>34</v>
      </c>
      <c r="B26" s="7">
        <v>20</v>
      </c>
      <c r="C26" s="7">
        <v>30</v>
      </c>
      <c r="D26" s="7">
        <v>50</v>
      </c>
      <c r="E26" s="8">
        <v>40</v>
      </c>
    </row>
    <row r="27" spans="1:11" x14ac:dyDescent="0.25">
      <c r="A27" s="5" t="s">
        <v>35</v>
      </c>
      <c r="B27" s="7">
        <v>10</v>
      </c>
      <c r="C27" s="7">
        <v>20</v>
      </c>
      <c r="D27" s="7">
        <v>25</v>
      </c>
      <c r="E27" s="8">
        <v>38</v>
      </c>
    </row>
    <row r="28" spans="1:11" x14ac:dyDescent="0.25">
      <c r="A28" s="5" t="s">
        <v>36</v>
      </c>
      <c r="B28" s="7">
        <v>150</v>
      </c>
      <c r="C28" s="7">
        <v>300</v>
      </c>
      <c r="D28" s="7">
        <v>450</v>
      </c>
      <c r="E28" s="8">
        <v>200</v>
      </c>
    </row>
    <row r="29" spans="1:11" x14ac:dyDescent="0.25">
      <c r="A29" s="5" t="s">
        <v>37</v>
      </c>
      <c r="B29" s="7">
        <v>30</v>
      </c>
      <c r="C29" s="7">
        <v>90</v>
      </c>
      <c r="D29" s="7">
        <v>150</v>
      </c>
      <c r="E29" s="8">
        <v>60</v>
      </c>
    </row>
    <row r="30" spans="1:11" x14ac:dyDescent="0.25">
      <c r="A30" s="6" t="s">
        <v>38</v>
      </c>
      <c r="B30" s="9">
        <v>160</v>
      </c>
      <c r="C30" s="9">
        <v>160</v>
      </c>
      <c r="D30" s="9">
        <v>160</v>
      </c>
      <c r="E30" s="10">
        <v>200</v>
      </c>
    </row>
    <row r="31" spans="1:11" x14ac:dyDescent="0.25">
      <c r="F31" s="25"/>
      <c r="G31" s="25"/>
      <c r="H31" s="25"/>
      <c r="I31" s="25"/>
      <c r="J31" s="25"/>
      <c r="K31" s="25"/>
    </row>
    <row r="32" spans="1:11" x14ac:dyDescent="0.25">
      <c r="F32" s="25"/>
      <c r="G32" s="25"/>
      <c r="H32" s="25"/>
      <c r="I32" s="25"/>
      <c r="J32" s="25"/>
      <c r="K32" s="25"/>
    </row>
    <row r="33" spans="1:11" x14ac:dyDescent="0.25">
      <c r="F33" s="25"/>
      <c r="G33" s="25"/>
      <c r="H33" s="25"/>
      <c r="I33" s="25"/>
      <c r="J33" s="25"/>
      <c r="K33" s="25"/>
    </row>
    <row r="34" spans="1:11" x14ac:dyDescent="0.25">
      <c r="F34" s="25"/>
      <c r="G34" s="25"/>
      <c r="H34" s="25"/>
      <c r="I34" s="25"/>
      <c r="J34" s="25"/>
      <c r="K34" s="25"/>
    </row>
    <row r="35" spans="1:11" x14ac:dyDescent="0.25">
      <c r="F35" s="25"/>
      <c r="G35" s="25"/>
      <c r="H35" s="25"/>
      <c r="I35" s="25"/>
      <c r="J35" s="25"/>
      <c r="K35" s="25"/>
    </row>
    <row r="36" spans="1:11" x14ac:dyDescent="0.25">
      <c r="F36" s="25"/>
      <c r="G36" s="25"/>
      <c r="H36" s="25"/>
      <c r="I36" s="25"/>
      <c r="J36" s="25"/>
      <c r="K36" s="25"/>
    </row>
    <row r="37" spans="1:11" x14ac:dyDescent="0.25">
      <c r="F37" s="25"/>
      <c r="G37" s="25"/>
      <c r="H37" s="25"/>
      <c r="I37" s="25"/>
      <c r="J37" s="25"/>
      <c r="K37" s="25"/>
    </row>
    <row r="38" spans="1:1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</sheetData>
  <mergeCells count="2">
    <mergeCell ref="G23:J23"/>
    <mergeCell ref="B23:E23"/>
  </mergeCells>
  <conditionalFormatting sqref="C12:C20">
    <cfRule type="expression" dxfId="3" priority="2">
      <formula>J12</formula>
    </cfRule>
  </conditionalFormatting>
  <conditionalFormatting sqref="J12:J20">
    <cfRule type="beginsWith" dxfId="2" priority="5" operator="beginsWith" text="N">
      <formula>LEFT(J12,LEN("N"))="N"</formula>
    </cfRule>
  </conditionalFormatting>
  <dataValidations count="4">
    <dataValidation type="list" allowBlank="1" showInputMessage="1" showErrorMessage="1" sqref="B12:B20 G25" xr:uid="{6193AA5E-ED67-4F2C-9EA8-45B34C40B950}">
      <formula1>Gradovi</formula1>
    </dataValidation>
    <dataValidation type="list" allowBlank="1" showInputMessage="1" showErrorMessage="1" sqref="C12:C20" xr:uid="{C7D9124D-72D6-4679-9730-A69ADA0F4FA4}">
      <formula1>INDIRECT(B12)</formula1>
    </dataValidation>
    <dataValidation type="list" allowBlank="1" showInputMessage="1" showErrorMessage="1" sqref="G12:G20" xr:uid="{6FEDF26B-C6D7-4253-BFF5-FE1FD12DFD5A}">
      <formula1>Klasa</formula1>
    </dataValidation>
    <dataValidation type="list" allowBlank="1" showInputMessage="1" showErrorMessage="1" sqref="E12:E20" xr:uid="{09F0B380-3591-4FAA-B57E-F74130AFA707}">
      <formula1>$A$25:$A$30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scrap_metal_purchase</vt:lpstr>
      <vt:lpstr>Bajina_Bašta</vt:lpstr>
      <vt:lpstr>Beograd</vt:lpstr>
      <vt:lpstr>Bonus</vt:lpstr>
      <vt:lpstr>Gradovi</vt:lpstr>
      <vt:lpstr>Klasa</vt:lpstr>
      <vt:lpstr>Pirot</vt:lpstr>
      <vt:lpstr>PreglednaTabela</vt:lpstr>
      <vt:lpstr>Prijepolje</vt:lpstr>
      <vt:lpstr>Smederevo</vt:lpstr>
      <vt:lpstr>Suma</vt:lpstr>
      <vt:lpstr>Užice</vt:lpstr>
      <vt:lpstr>Vranje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2015-06-05T18:17:20Z</dcterms:created>
  <dcterms:modified xsi:type="dcterms:W3CDTF">2026-06-29T10:03:03Z</dcterms:modified>
</cp:coreProperties>
</file>